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195" windowHeight="9210"/>
  </bookViews>
  <sheets>
    <sheet name="Player" sheetId="2" r:id="rId1"/>
    <sheet name="MobPlayer" sheetId="1" r:id="rId2"/>
  </sheets>
  <calcPr calcId="144525"/>
</workbook>
</file>

<file path=xl/calcChain.xml><?xml version="1.0" encoding="utf-8"?>
<calcChain xmlns="http://schemas.openxmlformats.org/spreadsheetml/2006/main">
  <c r="C3" i="1" l="1"/>
  <c r="D3" i="1" s="1"/>
  <c r="F3" i="1" s="1"/>
  <c r="E3" i="1"/>
  <c r="G3" i="1"/>
  <c r="A4" i="1"/>
  <c r="A5" i="1" s="1"/>
  <c r="B4" i="1"/>
  <c r="B5" i="1" s="1"/>
  <c r="C4" i="1"/>
  <c r="D4" i="1"/>
  <c r="F4" i="1" s="1"/>
  <c r="E4" i="1"/>
  <c r="G4" i="1"/>
  <c r="B6" i="1"/>
  <c r="D3" i="2"/>
  <c r="A4" i="2"/>
  <c r="G4" i="2" s="1"/>
  <c r="B4" i="2"/>
  <c r="C4" i="2"/>
  <c r="D4" i="2" s="1"/>
  <c r="E4" i="2" s="1"/>
  <c r="F4" i="2" s="1"/>
  <c r="B7" i="1" l="1"/>
  <c r="E5" i="1"/>
  <c r="G5" i="1"/>
  <c r="C5" i="1"/>
  <c r="D5" i="1" s="1"/>
  <c r="F5" i="1" s="1"/>
  <c r="A6" i="1"/>
  <c r="E6" i="1"/>
  <c r="A5" i="2"/>
  <c r="A7" i="1" l="1"/>
  <c r="C6" i="1"/>
  <c r="D6" i="1" s="1"/>
  <c r="F6" i="1" s="1"/>
  <c r="B5" i="2"/>
  <c r="G5" i="2"/>
  <c r="A6" i="2"/>
  <c r="E7" i="1"/>
  <c r="G7" i="1"/>
  <c r="B8" i="1"/>
  <c r="G6" i="1"/>
  <c r="E8" i="1" l="1"/>
  <c r="B9" i="1"/>
  <c r="G6" i="2"/>
  <c r="A7" i="2"/>
  <c r="B6" i="2"/>
  <c r="C5" i="2"/>
  <c r="D5" i="2" s="1"/>
  <c r="E5" i="2" s="1"/>
  <c r="F5" i="2" s="1"/>
  <c r="C7" i="1"/>
  <c r="D7" i="1" s="1"/>
  <c r="F7" i="1" s="1"/>
  <c r="A8" i="1"/>
  <c r="A9" i="1" l="1"/>
  <c r="C8" i="1"/>
  <c r="D8" i="1" s="1"/>
  <c r="F8" i="1" s="1"/>
  <c r="C6" i="2"/>
  <c r="D6" i="2" s="1"/>
  <c r="E6" i="2" s="1"/>
  <c r="F6" i="2" s="1"/>
  <c r="B7" i="2"/>
  <c r="G7" i="2"/>
  <c r="A8" i="2"/>
  <c r="B10" i="1"/>
  <c r="E9" i="1"/>
  <c r="G9" i="1"/>
  <c r="G8" i="1"/>
  <c r="E10" i="1" l="1"/>
  <c r="B11" i="1"/>
  <c r="A9" i="2"/>
  <c r="G8" i="2"/>
  <c r="B8" i="2"/>
  <c r="C7" i="2"/>
  <c r="D7" i="2" s="1"/>
  <c r="E7" i="2" s="1"/>
  <c r="F7" i="2" s="1"/>
  <c r="C9" i="1"/>
  <c r="D9" i="1" s="1"/>
  <c r="F9" i="1" s="1"/>
  <c r="A10" i="1"/>
  <c r="C10" i="1" l="1"/>
  <c r="D10" i="1" s="1"/>
  <c r="F10" i="1" s="1"/>
  <c r="A11" i="1"/>
  <c r="C8" i="2"/>
  <c r="D8" i="2" s="1"/>
  <c r="E8" i="2" s="1"/>
  <c r="F8" i="2" s="1"/>
  <c r="A10" i="2"/>
  <c r="B9" i="2"/>
  <c r="G9" i="2"/>
  <c r="G11" i="1"/>
  <c r="B12" i="1"/>
  <c r="E11" i="1"/>
  <c r="G10" i="1"/>
  <c r="B10" i="2" l="1"/>
  <c r="A11" i="2"/>
  <c r="G10" i="2"/>
  <c r="A12" i="1"/>
  <c r="C11" i="1"/>
  <c r="D11" i="1" s="1"/>
  <c r="F11" i="1" s="1"/>
  <c r="E12" i="1"/>
  <c r="G12" i="1"/>
  <c r="B13" i="1"/>
  <c r="C9" i="2"/>
  <c r="D9" i="2" s="1"/>
  <c r="E9" i="2" s="1"/>
  <c r="F9" i="2" s="1"/>
  <c r="E13" i="1" l="1"/>
  <c r="B14" i="1"/>
  <c r="C12" i="1"/>
  <c r="D12" i="1" s="1"/>
  <c r="F12" i="1" s="1"/>
  <c r="A13" i="1"/>
  <c r="G11" i="2"/>
  <c r="A12" i="2"/>
  <c r="B11" i="2"/>
  <c r="C10" i="2"/>
  <c r="D10" i="2" s="1"/>
  <c r="E10" i="2" s="1"/>
  <c r="F10" i="2" s="1"/>
  <c r="A14" i="1" l="1"/>
  <c r="C13" i="1"/>
  <c r="D13" i="1" s="1"/>
  <c r="F13" i="1" s="1"/>
  <c r="B12" i="2"/>
  <c r="G12" i="2"/>
  <c r="A13" i="2"/>
  <c r="E14" i="1"/>
  <c r="G14" i="1"/>
  <c r="B15" i="1"/>
  <c r="G13" i="1"/>
  <c r="C11" i="2"/>
  <c r="D11" i="2"/>
  <c r="E11" i="2" s="1"/>
  <c r="F11" i="2" s="1"/>
  <c r="E15" i="1" l="1"/>
  <c r="B16" i="1"/>
  <c r="A14" i="2"/>
  <c r="G13" i="2"/>
  <c r="B13" i="2"/>
  <c r="C12" i="2"/>
  <c r="D12" i="2"/>
  <c r="E12" i="2" s="1"/>
  <c r="F12" i="2" s="1"/>
  <c r="C14" i="1"/>
  <c r="D14" i="1" s="1"/>
  <c r="F14" i="1" s="1"/>
  <c r="A15" i="1"/>
  <c r="C15" i="1" l="1"/>
  <c r="D15" i="1" s="1"/>
  <c r="F15" i="1" s="1"/>
  <c r="A16" i="1"/>
  <c r="C13" i="2"/>
  <c r="D13" i="2" s="1"/>
  <c r="E13" i="2" s="1"/>
  <c r="F13" i="2" s="1"/>
  <c r="B14" i="2"/>
  <c r="A15" i="2"/>
  <c r="G14" i="2"/>
  <c r="B17" i="1"/>
  <c r="G16" i="1"/>
  <c r="E16" i="1"/>
  <c r="G15" i="1"/>
  <c r="E17" i="1" l="1"/>
  <c r="B18" i="1"/>
  <c r="C14" i="2"/>
  <c r="D14" i="2" s="1"/>
  <c r="E14" i="2" s="1"/>
  <c r="F14" i="2" s="1"/>
  <c r="A17" i="1"/>
  <c r="C16" i="1"/>
  <c r="D16" i="1" s="1"/>
  <c r="F16" i="1" s="1"/>
  <c r="B15" i="2"/>
  <c r="G15" i="2"/>
  <c r="A16" i="2"/>
  <c r="G16" i="2" l="1"/>
  <c r="A17" i="2"/>
  <c r="B16" i="2"/>
  <c r="C15" i="2"/>
  <c r="D15" i="2" s="1"/>
  <c r="E15" i="2" s="1"/>
  <c r="F15" i="2" s="1"/>
  <c r="A18" i="1"/>
  <c r="C17" i="1"/>
  <c r="D17" i="1" s="1"/>
  <c r="F17" i="1" s="1"/>
  <c r="G17" i="1"/>
  <c r="G18" i="1"/>
  <c r="B19" i="1"/>
  <c r="E18" i="1"/>
  <c r="E19" i="1" l="1"/>
  <c r="B20" i="1"/>
  <c r="A19" i="1"/>
  <c r="G19" i="1" s="1"/>
  <c r="C18" i="1"/>
  <c r="D18" i="1" s="1"/>
  <c r="F18" i="1" s="1"/>
  <c r="C16" i="2"/>
  <c r="D16" i="2" s="1"/>
  <c r="E16" i="2" s="1"/>
  <c r="F16" i="2" s="1"/>
  <c r="B17" i="2"/>
  <c r="G17" i="2"/>
  <c r="A18" i="2"/>
  <c r="G18" i="2" l="1"/>
  <c r="A19" i="2"/>
  <c r="B18" i="2"/>
  <c r="C17" i="2"/>
  <c r="D17" i="2" s="1"/>
  <c r="E17" i="2" s="1"/>
  <c r="F17" i="2" s="1"/>
  <c r="C19" i="1"/>
  <c r="D19" i="1" s="1"/>
  <c r="F19" i="1" s="1"/>
  <c r="A20" i="1"/>
  <c r="E20" i="1"/>
  <c r="G20" i="1"/>
  <c r="B21" i="1"/>
  <c r="B22" i="1" l="1"/>
  <c r="E21" i="1"/>
  <c r="A21" i="1"/>
  <c r="C20" i="1"/>
  <c r="D20" i="1" s="1"/>
  <c r="F20" i="1" s="1"/>
  <c r="C18" i="2"/>
  <c r="D18" i="2" s="1"/>
  <c r="E18" i="2" s="1"/>
  <c r="F18" i="2" s="1"/>
  <c r="B19" i="2"/>
  <c r="G19" i="2"/>
  <c r="A20" i="2"/>
  <c r="G20" i="2" l="1"/>
  <c r="A21" i="2"/>
  <c r="B20" i="2"/>
  <c r="C19" i="2"/>
  <c r="D19" i="2" s="1"/>
  <c r="E19" i="2" s="1"/>
  <c r="F19" i="2" s="1"/>
  <c r="C21" i="1"/>
  <c r="D21" i="1" s="1"/>
  <c r="F21" i="1" s="1"/>
  <c r="A22" i="1"/>
  <c r="G21" i="1"/>
  <c r="E22" i="1"/>
  <c r="G22" i="1"/>
  <c r="B23" i="1"/>
  <c r="B24" i="1" l="1"/>
  <c r="E23" i="1"/>
  <c r="C22" i="1"/>
  <c r="D22" i="1" s="1"/>
  <c r="F22" i="1" s="1"/>
  <c r="A23" i="1"/>
  <c r="C20" i="2"/>
  <c r="D20" i="2"/>
  <c r="E20" i="2" s="1"/>
  <c r="F20" i="2" s="1"/>
  <c r="A22" i="2"/>
  <c r="B21" i="2"/>
  <c r="G21" i="2"/>
  <c r="C21" i="2" l="1"/>
  <c r="D21" i="2"/>
  <c r="E21" i="2" s="1"/>
  <c r="F21" i="2" s="1"/>
  <c r="B22" i="2"/>
  <c r="A23" i="2"/>
  <c r="G22" i="2"/>
  <c r="E24" i="1"/>
  <c r="B25" i="1"/>
  <c r="A24" i="1"/>
  <c r="C23" i="1"/>
  <c r="D23" i="1" s="1"/>
  <c r="F23" i="1" s="1"/>
  <c r="G23" i="1"/>
  <c r="E25" i="1" l="1"/>
  <c r="B26" i="1"/>
  <c r="C22" i="2"/>
  <c r="D22" i="2" s="1"/>
  <c r="E22" i="2" s="1"/>
  <c r="F22" i="2" s="1"/>
  <c r="C24" i="1"/>
  <c r="D24" i="1" s="1"/>
  <c r="F24" i="1" s="1"/>
  <c r="A25" i="1"/>
  <c r="G24" i="1"/>
  <c r="G23" i="2"/>
  <c r="A24" i="2"/>
  <c r="B23" i="2"/>
  <c r="C23" i="2" l="1"/>
  <c r="D23" i="2"/>
  <c r="E23" i="2" s="1"/>
  <c r="F23" i="2" s="1"/>
  <c r="B24" i="2"/>
  <c r="G24" i="2"/>
  <c r="A25" i="2"/>
  <c r="A26" i="1"/>
  <c r="C25" i="1"/>
  <c r="D25" i="1" s="1"/>
  <c r="F25" i="1" s="1"/>
  <c r="G25" i="1"/>
  <c r="E26" i="1"/>
  <c r="B27" i="1"/>
  <c r="G26" i="1"/>
  <c r="E27" i="1" l="1"/>
  <c r="G25" i="2"/>
  <c r="A26" i="2"/>
  <c r="B25" i="2"/>
  <c r="C26" i="1"/>
  <c r="D26" i="1" s="1"/>
  <c r="F26" i="1" s="1"/>
  <c r="A27" i="1"/>
  <c r="C27" i="1" s="1"/>
  <c r="D27" i="1" s="1"/>
  <c r="F27" i="1" s="1"/>
  <c r="C24" i="2"/>
  <c r="D24" i="2" s="1"/>
  <c r="E24" i="2" s="1"/>
  <c r="F24" i="2" s="1"/>
  <c r="C25" i="2" l="1"/>
  <c r="D25" i="2" s="1"/>
  <c r="E25" i="2" s="1"/>
  <c r="F25" i="2" s="1"/>
  <c r="B26" i="2"/>
  <c r="A27" i="2"/>
  <c r="G26" i="2"/>
  <c r="G27" i="1"/>
  <c r="B27" i="2" l="1"/>
  <c r="G27" i="2"/>
  <c r="A28" i="2"/>
  <c r="C26" i="2"/>
  <c r="D26" i="2" s="1"/>
  <c r="E26" i="2" s="1"/>
  <c r="F26" i="2" s="1"/>
  <c r="G28" i="2" l="1"/>
  <c r="A29" i="2"/>
  <c r="B28" i="2"/>
  <c r="C27" i="2"/>
  <c r="D27" i="2"/>
  <c r="E27" i="2" s="1"/>
  <c r="F27" i="2" s="1"/>
  <c r="C28" i="2" l="1"/>
  <c r="D28" i="2"/>
  <c r="E28" i="2" s="1"/>
  <c r="F28" i="2" s="1"/>
  <c r="G29" i="2"/>
  <c r="B29" i="2"/>
  <c r="A30" i="2"/>
  <c r="G30" i="2" l="1"/>
  <c r="A31" i="2"/>
  <c r="B30" i="2"/>
  <c r="C29" i="2"/>
  <c r="D29" i="2" s="1"/>
  <c r="E29" i="2" s="1"/>
  <c r="F29" i="2" s="1"/>
  <c r="C30" i="2" l="1"/>
  <c r="D30" i="2" s="1"/>
  <c r="E30" i="2" s="1"/>
  <c r="F30" i="2" s="1"/>
  <c r="B31" i="2"/>
  <c r="G31" i="2"/>
  <c r="A32" i="2"/>
  <c r="A33" i="2" l="1"/>
  <c r="G32" i="2"/>
  <c r="B32" i="2"/>
  <c r="C31" i="2"/>
  <c r="D31" i="2" s="1"/>
  <c r="E31" i="2" s="1"/>
  <c r="F31" i="2" s="1"/>
  <c r="C32" i="2" l="1"/>
  <c r="D32" i="2"/>
  <c r="E32" i="2" s="1"/>
  <c r="F32" i="2" s="1"/>
  <c r="A34" i="2"/>
  <c r="B33" i="2"/>
  <c r="G33" i="2"/>
  <c r="C33" i="2" l="1"/>
  <c r="D33" i="2"/>
  <c r="E33" i="2" s="1"/>
  <c r="F33" i="2" s="1"/>
  <c r="B34" i="2"/>
  <c r="G34" i="2"/>
  <c r="A35" i="2"/>
  <c r="G35" i="2" l="1"/>
  <c r="A36" i="2"/>
  <c r="B35" i="2"/>
  <c r="C34" i="2"/>
  <c r="D34" i="2"/>
  <c r="E34" i="2" s="1"/>
  <c r="F34" i="2" s="1"/>
  <c r="C35" i="2" l="1"/>
  <c r="D35" i="2"/>
  <c r="E35" i="2" s="1"/>
  <c r="F35" i="2" s="1"/>
  <c r="B36" i="2"/>
  <c r="G36" i="2"/>
  <c r="A37" i="2"/>
  <c r="G37" i="2" l="1"/>
  <c r="A38" i="2"/>
  <c r="B37" i="2"/>
  <c r="C36" i="2"/>
  <c r="D36" i="2"/>
  <c r="E36" i="2" s="1"/>
  <c r="F36" i="2" s="1"/>
  <c r="C37" i="2" l="1"/>
  <c r="D37" i="2" s="1"/>
  <c r="E37" i="2" s="1"/>
  <c r="F37" i="2" s="1"/>
  <c r="B38" i="2"/>
  <c r="G38" i="2"/>
  <c r="A39" i="2"/>
  <c r="B39" i="2" l="1"/>
  <c r="G39" i="2"/>
  <c r="A40" i="2"/>
  <c r="C38" i="2"/>
  <c r="D38" i="2" s="1"/>
  <c r="E38" i="2" s="1"/>
  <c r="F38" i="2" s="1"/>
  <c r="G40" i="2" l="1"/>
  <c r="A41" i="2"/>
  <c r="B40" i="2"/>
  <c r="C39" i="2"/>
  <c r="D39" i="2"/>
  <c r="E39" i="2" s="1"/>
  <c r="F39" i="2" s="1"/>
  <c r="C40" i="2" l="1"/>
  <c r="D40" i="2" s="1"/>
  <c r="E40" i="2" s="1"/>
  <c r="F40" i="2" s="1"/>
  <c r="G41" i="2"/>
  <c r="B41" i="2"/>
  <c r="A42" i="2"/>
  <c r="G42" i="2" l="1"/>
  <c r="A43" i="2"/>
  <c r="B42" i="2"/>
  <c r="C41" i="2"/>
  <c r="D41" i="2" s="1"/>
  <c r="E41" i="2" s="1"/>
  <c r="F41" i="2" s="1"/>
  <c r="C42" i="2" l="1"/>
  <c r="D42" i="2" s="1"/>
  <c r="E42" i="2" s="1"/>
  <c r="F42" i="2" s="1"/>
  <c r="B43" i="2"/>
  <c r="G43" i="2"/>
  <c r="A44" i="2"/>
  <c r="G44" i="2" l="1"/>
  <c r="A45" i="2"/>
  <c r="B44" i="2"/>
  <c r="C43" i="2"/>
  <c r="D43" i="2"/>
  <c r="E43" i="2" s="1"/>
  <c r="F43" i="2" s="1"/>
  <c r="C44" i="2" l="1"/>
  <c r="D44" i="2"/>
  <c r="E44" i="2" s="1"/>
  <c r="F44" i="2" s="1"/>
  <c r="A46" i="2"/>
  <c r="B45" i="2"/>
  <c r="G45" i="2"/>
  <c r="C45" i="2" l="1"/>
  <c r="D45" i="2"/>
  <c r="E45" i="2" s="1"/>
  <c r="F45" i="2" s="1"/>
  <c r="B46" i="2"/>
  <c r="A47" i="2"/>
  <c r="G46" i="2"/>
  <c r="G47" i="2" l="1"/>
  <c r="A48" i="2"/>
  <c r="B47" i="2"/>
  <c r="C46" i="2"/>
  <c r="D46" i="2"/>
  <c r="E46" i="2" s="1"/>
  <c r="F46" i="2" s="1"/>
  <c r="C47" i="2" l="1"/>
  <c r="D47" i="2"/>
  <c r="E47" i="2" s="1"/>
  <c r="F47" i="2" s="1"/>
  <c r="B48" i="2"/>
  <c r="G48" i="2"/>
  <c r="A49" i="2"/>
  <c r="G49" i="2" l="1"/>
  <c r="A50" i="2"/>
  <c r="B49" i="2"/>
  <c r="C48" i="2"/>
  <c r="D48" i="2"/>
  <c r="E48" i="2" s="1"/>
  <c r="F48" i="2" s="1"/>
  <c r="C49" i="2" l="1"/>
  <c r="D49" i="2" s="1"/>
  <c r="E49" i="2" s="1"/>
  <c r="F49" i="2" s="1"/>
  <c r="B50" i="2"/>
  <c r="G50" i="2"/>
  <c r="A51" i="2"/>
  <c r="B51" i="2" l="1"/>
  <c r="A52" i="2"/>
  <c r="G51" i="2"/>
  <c r="C50" i="2"/>
  <c r="D50" i="2" s="1"/>
  <c r="E50" i="2" s="1"/>
  <c r="F50" i="2" s="1"/>
  <c r="G52" i="2" l="1"/>
  <c r="A53" i="2"/>
  <c r="B52" i="2"/>
  <c r="C51" i="2"/>
  <c r="D51" i="2"/>
  <c r="E51" i="2" s="1"/>
  <c r="F51" i="2" s="1"/>
  <c r="C52" i="2" l="1"/>
  <c r="D52" i="2"/>
  <c r="E52" i="2" s="1"/>
  <c r="F52" i="2" s="1"/>
  <c r="G53" i="2"/>
  <c r="B53" i="2"/>
  <c r="A54" i="2"/>
  <c r="G54" i="2" l="1"/>
  <c r="A55" i="2"/>
  <c r="B54" i="2"/>
  <c r="C53" i="2"/>
  <c r="D53" i="2" s="1"/>
  <c r="E53" i="2" s="1"/>
  <c r="F53" i="2" s="1"/>
  <c r="C54" i="2" l="1"/>
  <c r="D54" i="2"/>
  <c r="E54" i="2" s="1"/>
  <c r="F54" i="2" s="1"/>
  <c r="B55" i="2"/>
  <c r="A56" i="2"/>
  <c r="G55" i="2"/>
  <c r="G56" i="2" l="1"/>
  <c r="A57" i="2"/>
  <c r="B56" i="2"/>
  <c r="C55" i="2"/>
  <c r="D55" i="2"/>
  <c r="E55" i="2" s="1"/>
  <c r="F55" i="2" s="1"/>
  <c r="C56" i="2" l="1"/>
  <c r="D56" i="2"/>
  <c r="E56" i="2" s="1"/>
  <c r="F56" i="2" s="1"/>
  <c r="A58" i="2"/>
  <c r="B57" i="2"/>
  <c r="G57" i="2"/>
  <c r="C57" i="2" l="1"/>
  <c r="D57" i="2"/>
  <c r="E57" i="2" s="1"/>
  <c r="F57" i="2" s="1"/>
  <c r="B58" i="2"/>
  <c r="A59" i="2"/>
  <c r="G58" i="2"/>
  <c r="G59" i="2" l="1"/>
  <c r="A60" i="2"/>
  <c r="B59" i="2"/>
  <c r="C58" i="2"/>
  <c r="D58" i="2"/>
  <c r="E58" i="2" s="1"/>
  <c r="F58" i="2" s="1"/>
  <c r="C59" i="2" l="1"/>
  <c r="D59" i="2"/>
  <c r="E59" i="2" s="1"/>
  <c r="F59" i="2" s="1"/>
  <c r="B60" i="2"/>
  <c r="A61" i="2"/>
  <c r="G60" i="2"/>
  <c r="G61" i="2" l="1"/>
  <c r="A62" i="2"/>
  <c r="B61" i="2"/>
  <c r="C60" i="2"/>
  <c r="D60" i="2" s="1"/>
  <c r="E60" i="2" s="1"/>
  <c r="F60" i="2" s="1"/>
  <c r="C61" i="2" l="1"/>
  <c r="D61" i="2" s="1"/>
  <c r="E61" i="2" s="1"/>
  <c r="F61" i="2" s="1"/>
  <c r="B62" i="2"/>
  <c r="G62" i="2"/>
  <c r="C62" i="2" l="1"/>
  <c r="D62" i="2"/>
  <c r="E62" i="2" s="1"/>
  <c r="F62" i="2" s="1"/>
</calcChain>
</file>

<file path=xl/sharedStrings.xml><?xml version="1.0" encoding="utf-8"?>
<sst xmlns="http://schemas.openxmlformats.org/spreadsheetml/2006/main" count="84" uniqueCount="36">
  <si>
    <t>Player</t>
  </si>
  <si>
    <t>Mobile</t>
  </si>
  <si>
    <t>Bad Idea</t>
  </si>
  <si>
    <t>You are Mad</t>
  </si>
  <si>
    <t>Don't Bother</t>
  </si>
  <si>
    <t>Tough Fight</t>
  </si>
  <si>
    <t>Lots Of Luck</t>
  </si>
  <si>
    <t>Way Too Easy</t>
  </si>
  <si>
    <t>Easy</t>
  </si>
  <si>
    <t>A Worthy Opponent</t>
  </si>
  <si>
    <t>No Problem</t>
  </si>
  <si>
    <t>Very Easy</t>
  </si>
  <si>
    <t>You Might Win</t>
  </si>
  <si>
    <t>Green</t>
  </si>
  <si>
    <t>Cyan</t>
  </si>
  <si>
    <t>Yellow</t>
  </si>
  <si>
    <t>Red</t>
  </si>
  <si>
    <t>Message</t>
  </si>
  <si>
    <t>Color</t>
  </si>
  <si>
    <t>Level</t>
  </si>
  <si>
    <t>Diff</t>
  </si>
  <si>
    <t>Pct of</t>
  </si>
  <si>
    <t>xp</t>
  </si>
  <si>
    <t>Mob</t>
  </si>
  <si>
    <t>Adj</t>
  </si>
  <si>
    <t>Exp per</t>
  </si>
  <si>
    <t>Mobs</t>
  </si>
  <si>
    <t>Killed</t>
  </si>
  <si>
    <t>Mob Exp</t>
  </si>
  <si>
    <t>Per Level</t>
  </si>
  <si>
    <t>Exp</t>
  </si>
  <si>
    <t>Log</t>
  </si>
  <si>
    <t>Base Exp</t>
  </si>
  <si>
    <t>To Gain</t>
  </si>
  <si>
    <t>Additional Exp</t>
  </si>
  <si>
    <t>Total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</si>
</sst>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3" fontId="0" fillId="0" borderId="0" xfId="0" applyNumberFormat="1"/>
    <xf numFmtId="3" fontId="2" fillId="0" borderId="0" xfId="0" applyNumberFormat="1" applyFont="1"/>
    <xf numFmtId="2" fontId="0" fillId="0" borderId="0" xfId="0" applyNumberFormat="1"/>
    <xf numFmtId="4" fontId="0" fillId="0" borderId="0" xfId="0" applyNumberFormat="1"/>
    <xf numFmtId="3" fontId="1" fillId="0" borderId="0" xfId="0" applyNumberFormat="1" applyFon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2.75" x14ac:dyDescent="0.2"/>
  <cols>
    <col min="2" max="2" width="11.140625" customWidth="1"/>
    <col min="3" max="3" width="14.7109375" customWidth="1"/>
    <col min="4" max="4" width="14.7109375" style="7" customWidth="1"/>
    <col min="5" max="5" width="12.7109375" customWidth="1"/>
    <col min="8" max="9" width="10.7109375" customWidth="1"/>
  </cols>
  <sheetData>
    <row r="1" spans="1:11" x14ac:dyDescent="0.2">
      <c r="A1" s="1" t="s">
        <v>0</v>
      </c>
      <c r="B1" s="1" t="s">
        <v>32</v>
      </c>
      <c r="C1" s="1" t="s">
        <v>34</v>
      </c>
      <c r="D1" s="11" t="s">
        <v>35</v>
      </c>
      <c r="E1" s="1" t="s">
        <v>30</v>
      </c>
      <c r="F1" s="1" t="s">
        <v>26</v>
      </c>
      <c r="G1" s="1" t="s">
        <v>31</v>
      </c>
      <c r="H1" s="3" t="s">
        <v>25</v>
      </c>
      <c r="I1" s="3" t="s">
        <v>28</v>
      </c>
    </row>
    <row r="2" spans="1:11" x14ac:dyDescent="0.2">
      <c r="A2" s="1" t="s">
        <v>19</v>
      </c>
      <c r="B2" s="1" t="s">
        <v>33</v>
      </c>
      <c r="C2" s="1" t="s">
        <v>33</v>
      </c>
      <c r="D2" s="11" t="s">
        <v>33</v>
      </c>
      <c r="E2" s="1" t="s">
        <v>20</v>
      </c>
      <c r="F2" s="1" t="s">
        <v>27</v>
      </c>
      <c r="G2" s="1" t="s">
        <v>19</v>
      </c>
      <c r="H2" s="3" t="s">
        <v>19</v>
      </c>
      <c r="I2" s="3" t="s">
        <v>29</v>
      </c>
    </row>
    <row r="3" spans="1:11" x14ac:dyDescent="0.2">
      <c r="A3">
        <v>1</v>
      </c>
      <c r="B3">
        <v>0</v>
      </c>
      <c r="C3" s="12">
        <v>0</v>
      </c>
      <c r="D3" s="7">
        <f>+B3+C3</f>
        <v>0</v>
      </c>
      <c r="E3">
        <v>0</v>
      </c>
      <c r="F3">
        <v>0</v>
      </c>
      <c r="G3" s="12">
        <v>0</v>
      </c>
      <c r="H3" s="6">
        <v>1000</v>
      </c>
      <c r="I3" s="6">
        <v>50</v>
      </c>
    </row>
    <row r="4" spans="1:11" x14ac:dyDescent="0.2">
      <c r="A4">
        <f>+A3+1</f>
        <v>2</v>
      </c>
      <c r="B4" s="8">
        <f>A4*$H$3+B3</f>
        <v>2000</v>
      </c>
      <c r="C4" s="7">
        <f>+B4^G4*(A4/10000)</f>
        <v>5.4001712443838201</v>
      </c>
      <c r="D4" s="7">
        <f t="shared" ref="D4:D62" si="0">+B4+C4</f>
        <v>2005.4001712443837</v>
      </c>
      <c r="E4" s="7">
        <f>+D4-D3</f>
        <v>2005.4001712443837</v>
      </c>
      <c r="F4" s="7">
        <f t="shared" ref="F4:F35" si="1">+E4/(A4*$I$3)</f>
        <v>20.054001712443839</v>
      </c>
      <c r="G4" s="9">
        <f>LOG(A4+20)</f>
        <v>1.3424226808222062</v>
      </c>
      <c r="H4" s="7"/>
      <c r="I4" s="7"/>
      <c r="J4" s="10"/>
      <c r="K4" s="7"/>
    </row>
    <row r="5" spans="1:11" x14ac:dyDescent="0.2">
      <c r="A5">
        <f t="shared" ref="A5:A31" si="2">+A4+1</f>
        <v>3</v>
      </c>
      <c r="B5" s="8">
        <f t="shared" ref="B5:B62" si="3">A5*$H$3+B4</f>
        <v>5000</v>
      </c>
      <c r="C5" s="7">
        <f>B5^G5*(A5/10000)</f>
        <v>32.66718215662943</v>
      </c>
      <c r="D5" s="7">
        <f t="shared" si="0"/>
        <v>5032.6671821566297</v>
      </c>
      <c r="E5" s="7">
        <f t="shared" ref="E5:E62" si="4">+D5-D4</f>
        <v>3027.267010912246</v>
      </c>
      <c r="F5" s="7">
        <f t="shared" si="1"/>
        <v>20.181780072748307</v>
      </c>
      <c r="G5" s="9">
        <f t="shared" ref="G5:G62" si="5">LOG(A5+20)</f>
        <v>1.3617278360175928</v>
      </c>
      <c r="H5" s="7"/>
      <c r="I5" s="7"/>
      <c r="J5" s="10"/>
      <c r="K5" s="7"/>
    </row>
    <row r="6" spans="1:11" x14ac:dyDescent="0.2">
      <c r="A6">
        <f t="shared" si="2"/>
        <v>4</v>
      </c>
      <c r="B6" s="8">
        <f t="shared" si="3"/>
        <v>9000</v>
      </c>
      <c r="C6" s="7">
        <f>B6^G6*(A6/10000)</f>
        <v>114.74927632582694</v>
      </c>
      <c r="D6" s="7">
        <f t="shared" si="0"/>
        <v>9114.7492763258269</v>
      </c>
      <c r="E6" s="7">
        <f t="shared" si="4"/>
        <v>4082.0820941691973</v>
      </c>
      <c r="F6" s="7">
        <f t="shared" si="1"/>
        <v>20.410410470845985</v>
      </c>
      <c r="G6" s="9">
        <f t="shared" si="5"/>
        <v>1.3802112417116059</v>
      </c>
      <c r="H6" s="7"/>
      <c r="I6" s="7"/>
      <c r="J6" s="10"/>
      <c r="K6" s="7"/>
    </row>
    <row r="7" spans="1:11" x14ac:dyDescent="0.2">
      <c r="A7">
        <f t="shared" si="2"/>
        <v>5</v>
      </c>
      <c r="B7" s="8">
        <f t="shared" si="3"/>
        <v>14000</v>
      </c>
      <c r="C7" s="7">
        <f t="shared" ref="C7:C38" si="6">+B7^G7*(A7/10000)</f>
        <v>312.61388703937934</v>
      </c>
      <c r="D7" s="7">
        <f t="shared" si="0"/>
        <v>14312.613887039379</v>
      </c>
      <c r="E7" s="7">
        <f t="shared" si="4"/>
        <v>5197.8646107135519</v>
      </c>
      <c r="F7" s="7">
        <f t="shared" si="1"/>
        <v>20.791458442854207</v>
      </c>
      <c r="G7" s="9">
        <f t="shared" si="5"/>
        <v>1.3979400086720377</v>
      </c>
      <c r="H7" s="7"/>
      <c r="I7" s="7"/>
      <c r="J7" s="10"/>
      <c r="K7" s="7"/>
    </row>
    <row r="8" spans="1:11" x14ac:dyDescent="0.2">
      <c r="A8">
        <f t="shared" si="2"/>
        <v>6</v>
      </c>
      <c r="B8" s="8">
        <f t="shared" si="3"/>
        <v>20000</v>
      </c>
      <c r="C8" s="7">
        <f t="shared" si="6"/>
        <v>731.12908867303179</v>
      </c>
      <c r="D8" s="7">
        <f t="shared" si="0"/>
        <v>20731.129088673031</v>
      </c>
      <c r="E8" s="7">
        <f t="shared" si="4"/>
        <v>6418.5152016336524</v>
      </c>
      <c r="F8" s="7">
        <f t="shared" si="1"/>
        <v>21.395050672112173</v>
      </c>
      <c r="G8" s="9">
        <f t="shared" si="5"/>
        <v>1.414973347970818</v>
      </c>
      <c r="H8" s="7"/>
      <c r="I8" s="7"/>
      <c r="J8" s="10"/>
      <c r="K8" s="7"/>
    </row>
    <row r="9" spans="1:11" x14ac:dyDescent="0.2">
      <c r="A9">
        <f t="shared" si="2"/>
        <v>7</v>
      </c>
      <c r="B9" s="8">
        <f t="shared" si="3"/>
        <v>27000</v>
      </c>
      <c r="C9" s="7">
        <f t="shared" si="6"/>
        <v>1541.670484441805</v>
      </c>
      <c r="D9" s="7">
        <f t="shared" si="0"/>
        <v>28541.670484441805</v>
      </c>
      <c r="E9" s="7">
        <f t="shared" si="4"/>
        <v>7810.5413957687742</v>
      </c>
      <c r="F9" s="7">
        <f t="shared" si="1"/>
        <v>22.315832559339356</v>
      </c>
      <c r="G9" s="9">
        <f t="shared" si="5"/>
        <v>1.4313637641589874</v>
      </c>
      <c r="H9" s="7"/>
      <c r="I9" s="7"/>
      <c r="J9" s="10"/>
      <c r="K9" s="7"/>
    </row>
    <row r="10" spans="1:11" x14ac:dyDescent="0.2">
      <c r="A10">
        <f t="shared" si="2"/>
        <v>8</v>
      </c>
      <c r="B10" s="8">
        <f t="shared" si="3"/>
        <v>35000</v>
      </c>
      <c r="C10" s="7">
        <f t="shared" si="6"/>
        <v>3013.5232905502339</v>
      </c>
      <c r="D10" s="7">
        <f t="shared" si="0"/>
        <v>38013.523290550234</v>
      </c>
      <c r="E10" s="7">
        <f t="shared" si="4"/>
        <v>9471.8528061084289</v>
      </c>
      <c r="F10" s="7">
        <f t="shared" si="1"/>
        <v>23.679632015271071</v>
      </c>
      <c r="G10" s="9">
        <f t="shared" si="5"/>
        <v>1.4471580313422192</v>
      </c>
      <c r="H10" s="7"/>
      <c r="I10" s="7"/>
      <c r="J10" s="10"/>
      <c r="K10" s="7"/>
    </row>
    <row r="11" spans="1:11" x14ac:dyDescent="0.2">
      <c r="A11">
        <f t="shared" si="2"/>
        <v>9</v>
      </c>
      <c r="B11" s="8">
        <f t="shared" si="3"/>
        <v>44000</v>
      </c>
      <c r="C11" s="7">
        <f t="shared" si="6"/>
        <v>5556.7186359390716</v>
      </c>
      <c r="D11" s="7">
        <f t="shared" si="0"/>
        <v>49556.718635939069</v>
      </c>
      <c r="E11" s="7">
        <f t="shared" si="4"/>
        <v>11543.195345388835</v>
      </c>
      <c r="F11" s="7">
        <f t="shared" si="1"/>
        <v>25.651545211975186</v>
      </c>
      <c r="G11" s="9">
        <f t="shared" si="5"/>
        <v>1.4623979978989561</v>
      </c>
      <c r="H11" s="7"/>
      <c r="I11" s="7"/>
      <c r="J11" s="10"/>
      <c r="K11" s="7"/>
    </row>
    <row r="12" spans="1:11" x14ac:dyDescent="0.2">
      <c r="A12">
        <f t="shared" si="2"/>
        <v>10</v>
      </c>
      <c r="B12" s="8">
        <f t="shared" si="3"/>
        <v>54000</v>
      </c>
      <c r="C12" s="7">
        <f t="shared" si="6"/>
        <v>9779.5620896997843</v>
      </c>
      <c r="D12" s="7">
        <f t="shared" si="0"/>
        <v>63779.562089699786</v>
      </c>
      <c r="E12" s="7">
        <f t="shared" si="4"/>
        <v>14222.843453760717</v>
      </c>
      <c r="F12" s="7">
        <f t="shared" si="1"/>
        <v>28.445686907521434</v>
      </c>
      <c r="G12" s="9">
        <f t="shared" si="5"/>
        <v>1.4771212547196624</v>
      </c>
      <c r="H12" s="7"/>
      <c r="I12" s="7"/>
      <c r="J12" s="10"/>
      <c r="K12" s="7"/>
    </row>
    <row r="13" spans="1:11" x14ac:dyDescent="0.2">
      <c r="A13">
        <f t="shared" si="2"/>
        <v>11</v>
      </c>
      <c r="B13" s="8">
        <f t="shared" si="3"/>
        <v>65000</v>
      </c>
      <c r="C13" s="7">
        <f t="shared" si="6"/>
        <v>16564.842121317863</v>
      </c>
      <c r="D13" s="7">
        <f t="shared" si="0"/>
        <v>81564.842121317866</v>
      </c>
      <c r="E13" s="7">
        <f t="shared" si="4"/>
        <v>17785.28003161808</v>
      </c>
      <c r="F13" s="7">
        <f t="shared" si="1"/>
        <v>32.336872784760146</v>
      </c>
      <c r="G13" s="9">
        <f t="shared" si="5"/>
        <v>1.4913616938342726</v>
      </c>
      <c r="H13" s="7"/>
      <c r="I13" s="7"/>
      <c r="J13" s="10"/>
      <c r="K13" s="7"/>
    </row>
    <row r="14" spans="1:11" x14ac:dyDescent="0.2">
      <c r="A14">
        <f t="shared" si="2"/>
        <v>12</v>
      </c>
      <c r="B14" s="8">
        <f t="shared" si="3"/>
        <v>77000</v>
      </c>
      <c r="C14" s="7">
        <f t="shared" si="6"/>
        <v>27169.563118595139</v>
      </c>
      <c r="D14" s="7">
        <f t="shared" si="0"/>
        <v>104169.56311859514</v>
      </c>
      <c r="E14" s="7">
        <f t="shared" si="4"/>
        <v>22604.720997277269</v>
      </c>
      <c r="F14" s="7">
        <f t="shared" si="1"/>
        <v>37.674534995462118</v>
      </c>
      <c r="G14" s="9">
        <f t="shared" si="5"/>
        <v>1.505149978319906</v>
      </c>
      <c r="H14" s="7"/>
      <c r="I14" s="7"/>
      <c r="J14" s="10"/>
      <c r="K14" s="7"/>
    </row>
    <row r="15" spans="1:11" x14ac:dyDescent="0.2">
      <c r="A15">
        <f t="shared" si="2"/>
        <v>13</v>
      </c>
      <c r="B15" s="8">
        <f t="shared" si="3"/>
        <v>90000</v>
      </c>
      <c r="C15" s="7">
        <f t="shared" si="6"/>
        <v>43354.049030096248</v>
      </c>
      <c r="D15" s="7">
        <f t="shared" si="0"/>
        <v>133354.04903009624</v>
      </c>
      <c r="E15" s="7">
        <f t="shared" si="4"/>
        <v>29184.485911501106</v>
      </c>
      <c r="F15" s="7">
        <f t="shared" si="1"/>
        <v>44.899209094617085</v>
      </c>
      <c r="G15" s="9">
        <f t="shared" si="5"/>
        <v>1.5185139398778875</v>
      </c>
      <c r="H15" s="7"/>
      <c r="I15" s="7"/>
      <c r="J15" s="10"/>
      <c r="K15" s="7"/>
    </row>
    <row r="16" spans="1:11" x14ac:dyDescent="0.2">
      <c r="A16">
        <f t="shared" si="2"/>
        <v>14</v>
      </c>
      <c r="B16" s="8">
        <f t="shared" si="3"/>
        <v>104000</v>
      </c>
      <c r="C16" s="7">
        <f t="shared" si="6"/>
        <v>67547.428598583021</v>
      </c>
      <c r="D16" s="7">
        <f t="shared" si="0"/>
        <v>171547.42859858304</v>
      </c>
      <c r="E16" s="7">
        <f t="shared" si="4"/>
        <v>38193.379568486795</v>
      </c>
      <c r="F16" s="7">
        <f t="shared" si="1"/>
        <v>54.561970812123995</v>
      </c>
      <c r="G16" s="9">
        <f t="shared" si="5"/>
        <v>1.5314789170422551</v>
      </c>
      <c r="H16" s="7"/>
      <c r="I16" s="7"/>
      <c r="J16" s="10"/>
      <c r="K16" s="7"/>
    </row>
    <row r="17" spans="1:11" x14ac:dyDescent="0.2">
      <c r="A17">
        <f t="shared" si="2"/>
        <v>15</v>
      </c>
      <c r="B17" s="8">
        <f t="shared" si="3"/>
        <v>119000</v>
      </c>
      <c r="C17" s="7">
        <f t="shared" si="6"/>
        <v>103057.86229282741</v>
      </c>
      <c r="D17" s="7">
        <f t="shared" si="0"/>
        <v>222057.8622928274</v>
      </c>
      <c r="E17" s="7">
        <f t="shared" si="4"/>
        <v>50510.433694244362</v>
      </c>
      <c r="F17" s="7">
        <f t="shared" si="1"/>
        <v>67.347244925659155</v>
      </c>
      <c r="G17" s="9">
        <f t="shared" si="5"/>
        <v>1.5440680443502757</v>
      </c>
      <c r="H17" s="7"/>
      <c r="I17" s="7"/>
      <c r="J17" s="10"/>
      <c r="K17" s="7"/>
    </row>
    <row r="18" spans="1:11" x14ac:dyDescent="0.2">
      <c r="A18">
        <f t="shared" si="2"/>
        <v>16</v>
      </c>
      <c r="B18" s="8">
        <f t="shared" si="3"/>
        <v>135000</v>
      </c>
      <c r="C18" s="7">
        <f t="shared" si="6"/>
        <v>154337.42721296419</v>
      </c>
      <c r="D18" s="7">
        <f t="shared" si="0"/>
        <v>289337.42721296416</v>
      </c>
      <c r="E18" s="7">
        <f t="shared" si="4"/>
        <v>67279.564920136763</v>
      </c>
      <c r="F18" s="7">
        <f t="shared" si="1"/>
        <v>84.099456150170951</v>
      </c>
      <c r="G18" s="9">
        <f t="shared" si="5"/>
        <v>1.5563025007672873</v>
      </c>
      <c r="H18" s="7"/>
      <c r="I18" s="7"/>
      <c r="J18" s="10"/>
      <c r="K18" s="7"/>
    </row>
    <row r="19" spans="1:11" x14ac:dyDescent="0.2">
      <c r="A19">
        <f t="shared" si="2"/>
        <v>17</v>
      </c>
      <c r="B19" s="8">
        <f t="shared" si="3"/>
        <v>152000</v>
      </c>
      <c r="C19" s="7">
        <f t="shared" si="6"/>
        <v>227313.36437585644</v>
      </c>
      <c r="D19" s="7">
        <f t="shared" si="0"/>
        <v>379313.36437585647</v>
      </c>
      <c r="E19" s="7">
        <f t="shared" si="4"/>
        <v>89975.937162892311</v>
      </c>
      <c r="F19" s="7">
        <f t="shared" si="1"/>
        <v>105.85404372104978</v>
      </c>
      <c r="G19" s="9">
        <f t="shared" si="5"/>
        <v>1.568201724066995</v>
      </c>
      <c r="H19" s="7"/>
      <c r="I19" s="7"/>
      <c r="J19" s="10"/>
      <c r="K19" s="7"/>
    </row>
    <row r="20" spans="1:11" x14ac:dyDescent="0.2">
      <c r="A20">
        <f t="shared" si="2"/>
        <v>18</v>
      </c>
      <c r="B20" s="8">
        <f t="shared" si="3"/>
        <v>170000</v>
      </c>
      <c r="C20" s="7">
        <f t="shared" si="6"/>
        <v>329799.44012334052</v>
      </c>
      <c r="D20" s="7">
        <f t="shared" si="0"/>
        <v>499799.44012334052</v>
      </c>
      <c r="E20" s="7">
        <f t="shared" si="4"/>
        <v>120486.07574748405</v>
      </c>
      <c r="F20" s="7">
        <f t="shared" si="1"/>
        <v>133.87341749720451</v>
      </c>
      <c r="G20" s="9">
        <f t="shared" si="5"/>
        <v>1.5797835966168101</v>
      </c>
      <c r="H20" s="7"/>
      <c r="I20" s="7"/>
      <c r="J20" s="10"/>
      <c r="K20" s="7"/>
    </row>
    <row r="21" spans="1:11" x14ac:dyDescent="0.2">
      <c r="A21">
        <f t="shared" si="2"/>
        <v>19</v>
      </c>
      <c r="B21" s="8">
        <f t="shared" si="3"/>
        <v>189000</v>
      </c>
      <c r="C21" s="7">
        <f t="shared" si="6"/>
        <v>472003.50964442536</v>
      </c>
      <c r="D21" s="7">
        <f t="shared" si="0"/>
        <v>661003.50964442536</v>
      </c>
      <c r="E21" s="7">
        <f t="shared" si="4"/>
        <v>161204.06952108484</v>
      </c>
      <c r="F21" s="7">
        <f t="shared" si="1"/>
        <v>169.68849423272087</v>
      </c>
      <c r="G21" s="9">
        <f t="shared" si="5"/>
        <v>1.5910646070264991</v>
      </c>
      <c r="H21" s="7"/>
      <c r="I21" s="7"/>
      <c r="J21" s="10"/>
      <c r="K21" s="7"/>
    </row>
    <row r="22" spans="1:11" x14ac:dyDescent="0.2">
      <c r="A22">
        <f t="shared" si="2"/>
        <v>20</v>
      </c>
      <c r="B22" s="8">
        <f t="shared" si="3"/>
        <v>209000</v>
      </c>
      <c r="C22" s="7">
        <f t="shared" si="6"/>
        <v>667150.0281022744</v>
      </c>
      <c r="D22" s="7">
        <f t="shared" si="0"/>
        <v>876150.0281022744</v>
      </c>
      <c r="E22" s="7">
        <f t="shared" si="4"/>
        <v>215146.51845784904</v>
      </c>
      <c r="F22" s="7">
        <f t="shared" si="1"/>
        <v>215.14651845784906</v>
      </c>
      <c r="G22" s="9">
        <f t="shared" si="5"/>
        <v>1.6020599913279623</v>
      </c>
      <c r="H22" s="7"/>
      <c r="I22" s="7"/>
      <c r="J22" s="10"/>
      <c r="K22" s="7"/>
    </row>
    <row r="23" spans="1:11" x14ac:dyDescent="0.2">
      <c r="A23">
        <f t="shared" si="2"/>
        <v>21</v>
      </c>
      <c r="B23" s="8">
        <f t="shared" si="3"/>
        <v>230000</v>
      </c>
      <c r="C23" s="7">
        <f t="shared" si="6"/>
        <v>932239.2687567895</v>
      </c>
      <c r="D23" s="7">
        <f t="shared" si="0"/>
        <v>1162239.2687567896</v>
      </c>
      <c r="E23" s="7">
        <f t="shared" si="4"/>
        <v>286089.24065451522</v>
      </c>
      <c r="F23" s="7">
        <f t="shared" si="1"/>
        <v>272.46594348049069</v>
      </c>
      <c r="G23" s="9">
        <f t="shared" si="5"/>
        <v>1.6127838567197355</v>
      </c>
      <c r="H23" s="7"/>
      <c r="I23" s="7"/>
      <c r="J23" s="10"/>
      <c r="K23" s="7"/>
    </row>
    <row r="24" spans="1:11" x14ac:dyDescent="0.2">
      <c r="A24">
        <f t="shared" si="2"/>
        <v>22</v>
      </c>
      <c r="B24" s="8">
        <f t="shared" si="3"/>
        <v>252000</v>
      </c>
      <c r="C24" s="7">
        <f t="shared" si="6"/>
        <v>1288968.4159159886</v>
      </c>
      <c r="D24" s="7">
        <f t="shared" si="0"/>
        <v>1540968.4159159886</v>
      </c>
      <c r="E24" s="7">
        <f t="shared" si="4"/>
        <v>378729.147159199</v>
      </c>
      <c r="F24" s="7">
        <f t="shared" si="1"/>
        <v>344.29922469018089</v>
      </c>
      <c r="G24" s="9">
        <f t="shared" si="5"/>
        <v>1.6232492903979006</v>
      </c>
      <c r="H24" s="7"/>
      <c r="I24" s="7"/>
      <c r="J24" s="10"/>
      <c r="K24" s="7"/>
    </row>
    <row r="25" spans="1:11" x14ac:dyDescent="0.2">
      <c r="A25">
        <f t="shared" si="2"/>
        <v>23</v>
      </c>
      <c r="B25" s="8">
        <f t="shared" si="3"/>
        <v>275000</v>
      </c>
      <c r="C25" s="7">
        <f t="shared" si="6"/>
        <v>1764843.5448625339</v>
      </c>
      <c r="D25" s="7">
        <f t="shared" si="0"/>
        <v>2039843.5448625339</v>
      </c>
      <c r="E25" s="7">
        <f t="shared" si="4"/>
        <v>498875.1289465453</v>
      </c>
      <c r="F25" s="7">
        <f t="shared" si="1"/>
        <v>433.80445995351766</v>
      </c>
      <c r="G25" s="9">
        <f t="shared" si="5"/>
        <v>1.6334684555795864</v>
      </c>
      <c r="H25" s="7"/>
      <c r="I25" s="7"/>
      <c r="J25" s="10"/>
      <c r="K25" s="7"/>
    </row>
    <row r="26" spans="1:11" x14ac:dyDescent="0.2">
      <c r="A26">
        <f t="shared" si="2"/>
        <v>24</v>
      </c>
      <c r="B26" s="8">
        <f t="shared" si="3"/>
        <v>299000</v>
      </c>
      <c r="C26" s="7">
        <f t="shared" si="6"/>
        <v>2394515.8258036179</v>
      </c>
      <c r="D26" s="7">
        <f t="shared" si="0"/>
        <v>2693515.8258036179</v>
      </c>
      <c r="E26" s="7">
        <f t="shared" si="4"/>
        <v>653672.28094108403</v>
      </c>
      <c r="F26" s="7">
        <f t="shared" si="1"/>
        <v>544.7269007842367</v>
      </c>
      <c r="G26" s="9">
        <f t="shared" si="5"/>
        <v>1.6434526764861874</v>
      </c>
      <c r="H26" s="7"/>
      <c r="I26" s="7"/>
      <c r="J26" s="10"/>
      <c r="K26" s="7"/>
    </row>
    <row r="27" spans="1:11" x14ac:dyDescent="0.2">
      <c r="A27">
        <f t="shared" si="2"/>
        <v>25</v>
      </c>
      <c r="B27" s="8">
        <f t="shared" si="3"/>
        <v>324000</v>
      </c>
      <c r="C27" s="7">
        <f t="shared" si="6"/>
        <v>3221380.1427002819</v>
      </c>
      <c r="D27" s="7">
        <f t="shared" si="0"/>
        <v>3545380.1427002819</v>
      </c>
      <c r="E27" s="7">
        <f t="shared" si="4"/>
        <v>851864.31689666398</v>
      </c>
      <c r="F27" s="7">
        <f t="shared" si="1"/>
        <v>681.49145351733114</v>
      </c>
      <c r="G27" s="9">
        <f t="shared" si="5"/>
        <v>1.6532125137753437</v>
      </c>
      <c r="H27" s="7"/>
      <c r="I27" s="7"/>
      <c r="J27" s="10"/>
      <c r="K27" s="7"/>
    </row>
    <row r="28" spans="1:11" x14ac:dyDescent="0.2">
      <c r="A28">
        <f t="shared" si="2"/>
        <v>26</v>
      </c>
      <c r="B28" s="8">
        <f t="shared" si="3"/>
        <v>350000</v>
      </c>
      <c r="C28" s="7">
        <f t="shared" si="6"/>
        <v>4299479.7526875613</v>
      </c>
      <c r="D28" s="7">
        <f t="shared" si="0"/>
        <v>4649479.7526875613</v>
      </c>
      <c r="E28" s="7">
        <f t="shared" si="4"/>
        <v>1104099.6099872794</v>
      </c>
      <c r="F28" s="7">
        <f t="shared" si="1"/>
        <v>849.3073922979072</v>
      </c>
      <c r="G28" s="9">
        <f t="shared" si="5"/>
        <v>1.6627578316815741</v>
      </c>
      <c r="H28" s="7"/>
      <c r="I28" s="7"/>
      <c r="J28" s="10"/>
      <c r="K28" s="7"/>
    </row>
    <row r="29" spans="1:11" x14ac:dyDescent="0.2">
      <c r="A29">
        <f t="shared" si="2"/>
        <v>27</v>
      </c>
      <c r="B29" s="8">
        <f t="shared" si="3"/>
        <v>377000</v>
      </c>
      <c r="C29" s="7">
        <f t="shared" si="6"/>
        <v>5695766.6838918198</v>
      </c>
      <c r="D29" s="7">
        <f t="shared" si="0"/>
        <v>6072766.6838918198</v>
      </c>
      <c r="E29" s="7">
        <f t="shared" si="4"/>
        <v>1423286.9312042585</v>
      </c>
      <c r="F29" s="7">
        <f t="shared" si="1"/>
        <v>1054.2866157068581</v>
      </c>
      <c r="G29" s="9">
        <f t="shared" si="5"/>
        <v>1.6720978579357175</v>
      </c>
      <c r="H29" s="7"/>
      <c r="I29" s="7"/>
      <c r="J29" s="10"/>
      <c r="K29" s="7"/>
    </row>
    <row r="30" spans="1:11" x14ac:dyDescent="0.2">
      <c r="A30">
        <f t="shared" si="2"/>
        <v>28</v>
      </c>
      <c r="B30" s="8">
        <f t="shared" si="3"/>
        <v>405000</v>
      </c>
      <c r="C30" s="7">
        <f t="shared" si="6"/>
        <v>7492774.3392776744</v>
      </c>
      <c r="D30" s="7">
        <f t="shared" si="0"/>
        <v>7897774.3392776744</v>
      </c>
      <c r="E30" s="7">
        <f t="shared" si="4"/>
        <v>1825007.6553858547</v>
      </c>
      <c r="F30" s="7">
        <f t="shared" si="1"/>
        <v>1303.576896704182</v>
      </c>
      <c r="G30" s="9">
        <f t="shared" si="5"/>
        <v>1.6812412373755872</v>
      </c>
      <c r="H30" s="7"/>
      <c r="I30" s="7"/>
      <c r="J30" s="10"/>
      <c r="K30" s="7"/>
    </row>
    <row r="31" spans="1:11" x14ac:dyDescent="0.2">
      <c r="A31">
        <f t="shared" si="2"/>
        <v>29</v>
      </c>
      <c r="B31" s="8">
        <f t="shared" si="3"/>
        <v>434000</v>
      </c>
      <c r="C31" s="7">
        <f t="shared" si="6"/>
        <v>9791766.3067504149</v>
      </c>
      <c r="D31" s="7">
        <f t="shared" si="0"/>
        <v>10225766.306750415</v>
      </c>
      <c r="E31" s="7">
        <f t="shared" si="4"/>
        <v>2327991.9674727404</v>
      </c>
      <c r="F31" s="7">
        <f t="shared" si="1"/>
        <v>1605.5117017053383</v>
      </c>
      <c r="G31" s="9">
        <f t="shared" si="5"/>
        <v>1.6901960800285136</v>
      </c>
      <c r="H31" s="7"/>
      <c r="I31" s="7"/>
      <c r="J31" s="10"/>
      <c r="K31" s="7"/>
    </row>
    <row r="32" spans="1:11" x14ac:dyDescent="0.2">
      <c r="A32">
        <f>+A31+1</f>
        <v>30</v>
      </c>
      <c r="B32" s="8">
        <f t="shared" si="3"/>
        <v>464000</v>
      </c>
      <c r="C32" s="7">
        <f t="shared" si="6"/>
        <v>12716433.74095186</v>
      </c>
      <c r="D32" s="7">
        <f t="shared" si="0"/>
        <v>13180433.74095186</v>
      </c>
      <c r="E32" s="7">
        <f t="shared" si="4"/>
        <v>2954667.4342014454</v>
      </c>
      <c r="F32" s="7">
        <f t="shared" si="1"/>
        <v>1969.7782894676302</v>
      </c>
      <c r="G32" s="9">
        <f t="shared" si="5"/>
        <v>1.6989700043360187</v>
      </c>
      <c r="H32" s="7"/>
      <c r="I32" s="7"/>
      <c r="J32" s="10"/>
      <c r="K32" s="7"/>
    </row>
    <row r="33" spans="1:10" x14ac:dyDescent="0.2">
      <c r="A33">
        <f t="shared" ref="A33:A62" si="7">+A32+1</f>
        <v>31</v>
      </c>
      <c r="B33" s="8">
        <f t="shared" si="3"/>
        <v>495000</v>
      </c>
      <c r="C33" s="7">
        <f t="shared" si="6"/>
        <v>16417222.954955019</v>
      </c>
      <c r="D33" s="7">
        <f t="shared" si="0"/>
        <v>16912222.954955019</v>
      </c>
      <c r="E33" s="7">
        <f t="shared" si="4"/>
        <v>3731789.2140031587</v>
      </c>
      <c r="F33" s="7">
        <f t="shared" si="1"/>
        <v>2407.6059445181668</v>
      </c>
      <c r="G33" s="9">
        <f t="shared" si="5"/>
        <v>1.7075701760979363</v>
      </c>
      <c r="H33" s="7"/>
      <c r="I33" s="7"/>
      <c r="J33" s="10"/>
    </row>
    <row r="34" spans="1:10" x14ac:dyDescent="0.2">
      <c r="A34">
        <f t="shared" si="7"/>
        <v>32</v>
      </c>
      <c r="B34" s="8">
        <f t="shared" si="3"/>
        <v>527000</v>
      </c>
      <c r="C34" s="7">
        <f t="shared" si="6"/>
        <v>21076385.120700277</v>
      </c>
      <c r="D34" s="7">
        <f t="shared" si="0"/>
        <v>21603385.120700277</v>
      </c>
      <c r="E34" s="7">
        <f t="shared" si="4"/>
        <v>4691162.1657452583</v>
      </c>
      <c r="F34" s="7">
        <f t="shared" si="1"/>
        <v>2931.9763535907864</v>
      </c>
      <c r="G34" s="9">
        <f t="shared" si="5"/>
        <v>1.7160033436347992</v>
      </c>
      <c r="H34" s="7"/>
      <c r="I34" s="7"/>
      <c r="J34" s="10"/>
    </row>
    <row r="35" spans="1:10" x14ac:dyDescent="0.2">
      <c r="A35">
        <f t="shared" si="7"/>
        <v>33</v>
      </c>
      <c r="B35" s="8">
        <f t="shared" si="3"/>
        <v>560000</v>
      </c>
      <c r="C35" s="7">
        <f t="shared" si="6"/>
        <v>26913851.311501674</v>
      </c>
      <c r="D35" s="7">
        <f t="shared" si="0"/>
        <v>27473851.311501674</v>
      </c>
      <c r="E35" s="7">
        <f t="shared" si="4"/>
        <v>5870466.190801397</v>
      </c>
      <c r="F35" s="7">
        <f t="shared" si="1"/>
        <v>3557.8582974553919</v>
      </c>
      <c r="G35" s="9">
        <f t="shared" si="5"/>
        <v>1.7242758696007889</v>
      </c>
      <c r="H35" s="7"/>
      <c r="I35" s="7"/>
      <c r="J35" s="10"/>
    </row>
    <row r="36" spans="1:10" x14ac:dyDescent="0.2">
      <c r="A36">
        <f t="shared" si="7"/>
        <v>34</v>
      </c>
      <c r="B36" s="8">
        <f t="shared" si="3"/>
        <v>594000</v>
      </c>
      <c r="C36" s="7">
        <f t="shared" si="6"/>
        <v>34194048.62027204</v>
      </c>
      <c r="D36" s="7">
        <f t="shared" si="0"/>
        <v>34788048.62027204</v>
      </c>
      <c r="E36" s="7">
        <f t="shared" si="4"/>
        <v>7314197.308770366</v>
      </c>
      <c r="F36" s="7">
        <f t="shared" ref="F36:F67" si="8">+E36/(A36*$I$3)</f>
        <v>4302.4690051590387</v>
      </c>
      <c r="G36" s="9">
        <f t="shared" si="5"/>
        <v>1.7323937598229686</v>
      </c>
      <c r="H36" s="7"/>
      <c r="I36" s="7"/>
      <c r="J36" s="10"/>
    </row>
    <row r="37" spans="1:10" x14ac:dyDescent="0.2">
      <c r="A37">
        <f t="shared" si="7"/>
        <v>35</v>
      </c>
      <c r="B37" s="8">
        <f t="shared" si="3"/>
        <v>629000</v>
      </c>
      <c r="C37" s="7">
        <f t="shared" si="6"/>
        <v>43233786.851527594</v>
      </c>
      <c r="D37" s="7">
        <f t="shared" si="0"/>
        <v>43862786.851527594</v>
      </c>
      <c r="E37" s="7">
        <f t="shared" si="4"/>
        <v>9074738.2312555537</v>
      </c>
      <c r="F37" s="7">
        <f t="shared" si="8"/>
        <v>5185.5647035746024</v>
      </c>
      <c r="G37" s="9">
        <f t="shared" si="5"/>
        <v>1.7403626894942439</v>
      </c>
      <c r="H37" s="7"/>
      <c r="I37" s="7"/>
      <c r="J37" s="10"/>
    </row>
    <row r="38" spans="1:10" x14ac:dyDescent="0.2">
      <c r="A38">
        <f t="shared" si="7"/>
        <v>36</v>
      </c>
      <c r="B38" s="8">
        <f t="shared" si="3"/>
        <v>665000</v>
      </c>
      <c r="C38" s="7">
        <f t="shared" si="6"/>
        <v>54411360.4186965</v>
      </c>
      <c r="D38" s="7">
        <f t="shared" si="0"/>
        <v>55076360.4186965</v>
      </c>
      <c r="E38" s="7">
        <f t="shared" si="4"/>
        <v>11213573.567168906</v>
      </c>
      <c r="F38" s="7">
        <f t="shared" si="8"/>
        <v>6229.7630928716144</v>
      </c>
      <c r="G38" s="9">
        <f t="shared" si="5"/>
        <v>1.7481880270062005</v>
      </c>
      <c r="H38" s="7"/>
      <c r="I38" s="7"/>
      <c r="J38" s="10"/>
    </row>
    <row r="39" spans="1:10" x14ac:dyDescent="0.2">
      <c r="A39">
        <f t="shared" si="7"/>
        <v>37</v>
      </c>
      <c r="B39" s="8">
        <f t="shared" si="3"/>
        <v>702000</v>
      </c>
      <c r="C39" s="7">
        <f t="shared" ref="C39:C70" si="9">+B39^G39*(A39/10000)</f>
        <v>68177026.692667574</v>
      </c>
      <c r="D39" s="7">
        <f t="shared" si="0"/>
        <v>68879026.692667574</v>
      </c>
      <c r="E39" s="7">
        <f t="shared" si="4"/>
        <v>13802666.273971073</v>
      </c>
      <c r="F39" s="7">
        <f t="shared" si="8"/>
        <v>7460.9006886330126</v>
      </c>
      <c r="G39" s="9">
        <f t="shared" si="5"/>
        <v>1.7558748556724915</v>
      </c>
      <c r="H39" s="7"/>
      <c r="I39" s="7"/>
      <c r="J39" s="10"/>
    </row>
    <row r="40" spans="1:10" x14ac:dyDescent="0.2">
      <c r="A40">
        <f t="shared" si="7"/>
        <v>38</v>
      </c>
      <c r="B40" s="8">
        <f t="shared" si="3"/>
        <v>740000</v>
      </c>
      <c r="C40" s="7">
        <f t="shared" si="9"/>
        <v>85065040.262193859</v>
      </c>
      <c r="D40" s="7">
        <f t="shared" si="0"/>
        <v>85805040.262193859</v>
      </c>
      <c r="E40" s="7">
        <f t="shared" si="4"/>
        <v>16926013.569526285</v>
      </c>
      <c r="F40" s="7">
        <f t="shared" si="8"/>
        <v>8908.4281944875183</v>
      </c>
      <c r="G40" s="9">
        <f t="shared" si="5"/>
        <v>1.7634279935629373</v>
      </c>
      <c r="H40" s="7"/>
      <c r="I40" s="7"/>
      <c r="J40" s="10"/>
    </row>
    <row r="41" spans="1:10" x14ac:dyDescent="0.2">
      <c r="A41">
        <f t="shared" si="7"/>
        <v>39</v>
      </c>
      <c r="B41" s="8">
        <f t="shared" si="3"/>
        <v>779000</v>
      </c>
      <c r="C41" s="7">
        <f t="shared" si="9"/>
        <v>105707442.50873825</v>
      </c>
      <c r="D41" s="7">
        <f t="shared" si="0"/>
        <v>106486442.50873825</v>
      </c>
      <c r="E41" s="7">
        <f t="shared" si="4"/>
        <v>20681402.246544391</v>
      </c>
      <c r="F41" s="7">
        <f t="shared" si="8"/>
        <v>10605.847305920201</v>
      </c>
      <c r="G41" s="9">
        <f t="shared" si="5"/>
        <v>1.7708520116421442</v>
      </c>
      <c r="H41" s="7"/>
      <c r="I41" s="7"/>
      <c r="J41" s="10"/>
    </row>
    <row r="42" spans="1:10" x14ac:dyDescent="0.2">
      <c r="A42">
        <f t="shared" si="7"/>
        <v>40</v>
      </c>
      <c r="B42" s="8">
        <f t="shared" si="3"/>
        <v>819000</v>
      </c>
      <c r="C42" s="7">
        <f t="shared" si="9"/>
        <v>130849827.70279773</v>
      </c>
      <c r="D42" s="7">
        <f t="shared" si="0"/>
        <v>131668827.70279773</v>
      </c>
      <c r="E42" s="7">
        <f t="shared" si="4"/>
        <v>25182385.194059476</v>
      </c>
      <c r="F42" s="7">
        <f t="shared" si="8"/>
        <v>12591.192597029738</v>
      </c>
      <c r="G42" s="9">
        <f t="shared" si="5"/>
        <v>1.7781512503836436</v>
      </c>
      <c r="H42" s="7"/>
      <c r="I42" s="7"/>
      <c r="J42" s="10"/>
    </row>
    <row r="43" spans="1:10" x14ac:dyDescent="0.2">
      <c r="A43">
        <f t="shared" si="7"/>
        <v>41</v>
      </c>
      <c r="B43" s="8">
        <f t="shared" si="3"/>
        <v>860000</v>
      </c>
      <c r="C43" s="7">
        <f t="shared" si="9"/>
        <v>161369330.63939768</v>
      </c>
      <c r="D43" s="7">
        <f t="shared" si="0"/>
        <v>162229330.63939768</v>
      </c>
      <c r="E43" s="7">
        <f t="shared" si="4"/>
        <v>30560502.936599955</v>
      </c>
      <c r="F43" s="7">
        <f t="shared" si="8"/>
        <v>14907.562408097539</v>
      </c>
      <c r="G43" s="9">
        <f t="shared" si="5"/>
        <v>1.7853298350107671</v>
      </c>
      <c r="H43" s="7"/>
      <c r="I43" s="7"/>
      <c r="J43" s="10"/>
    </row>
    <row r="44" spans="1:10" x14ac:dyDescent="0.2">
      <c r="A44">
        <f t="shared" si="7"/>
        <v>42</v>
      </c>
      <c r="B44" s="8">
        <f t="shared" si="3"/>
        <v>902000</v>
      </c>
      <c r="C44" s="7">
        <f t="shared" si="9"/>
        <v>198295106.80002078</v>
      </c>
      <c r="D44" s="7">
        <f t="shared" si="0"/>
        <v>199197106.80002078</v>
      </c>
      <c r="E44" s="7">
        <f t="shared" si="4"/>
        <v>36967776.160623103</v>
      </c>
      <c r="F44" s="7">
        <f t="shared" si="8"/>
        <v>17603.702933630047</v>
      </c>
      <c r="G44" s="9">
        <f t="shared" si="5"/>
        <v>1.7923916894982539</v>
      </c>
      <c r="H44" s="7"/>
      <c r="I44" s="7"/>
      <c r="J44" s="10"/>
    </row>
    <row r="45" spans="1:10" x14ac:dyDescent="0.2">
      <c r="A45">
        <f t="shared" si="7"/>
        <v>43</v>
      </c>
      <c r="B45" s="8">
        <f t="shared" si="3"/>
        <v>945000</v>
      </c>
      <c r="C45" s="7">
        <f t="shared" si="9"/>
        <v>242831604.31886178</v>
      </c>
      <c r="D45" s="7">
        <f t="shared" si="0"/>
        <v>243776604.31886178</v>
      </c>
      <c r="E45" s="7">
        <f t="shared" si="4"/>
        <v>44579497.518840998</v>
      </c>
      <c r="F45" s="7">
        <f t="shared" si="8"/>
        <v>20734.650008763256</v>
      </c>
      <c r="G45" s="9">
        <f t="shared" si="5"/>
        <v>1.7993405494535817</v>
      </c>
      <c r="H45" s="7"/>
      <c r="I45" s="7"/>
      <c r="J45" s="10"/>
    </row>
    <row r="46" spans="1:10" x14ac:dyDescent="0.2">
      <c r="A46">
        <f t="shared" si="7"/>
        <v>44</v>
      </c>
      <c r="B46" s="8">
        <f t="shared" si="3"/>
        <v>989000</v>
      </c>
      <c r="C46" s="7">
        <f t="shared" si="9"/>
        <v>296384957.81495118</v>
      </c>
      <c r="D46" s="7">
        <f t="shared" si="0"/>
        <v>297373957.81495118</v>
      </c>
      <c r="E46" s="7">
        <f t="shared" si="4"/>
        <v>53597353.496089399</v>
      </c>
      <c r="F46" s="7">
        <f t="shared" si="8"/>
        <v>24362.433407313361</v>
      </c>
      <c r="G46" s="9">
        <f t="shared" si="5"/>
        <v>1.8061799739838871</v>
      </c>
      <c r="H46" s="7"/>
      <c r="I46" s="7"/>
      <c r="J46" s="10"/>
    </row>
    <row r="47" spans="1:10" x14ac:dyDescent="0.2">
      <c r="A47">
        <f t="shared" si="7"/>
        <v>45</v>
      </c>
      <c r="B47" s="8">
        <f t="shared" si="3"/>
        <v>1034000</v>
      </c>
      <c r="C47" s="7">
        <f t="shared" si="9"/>
        <v>360592867.61080921</v>
      </c>
      <c r="D47" s="7">
        <f t="shared" si="0"/>
        <v>361626867.61080921</v>
      </c>
      <c r="E47" s="7">
        <f t="shared" si="4"/>
        <v>64252909.795858026</v>
      </c>
      <c r="F47" s="7">
        <f t="shared" si="8"/>
        <v>28556.848798159124</v>
      </c>
      <c r="G47" s="9">
        <f t="shared" si="5"/>
        <v>1.8129133566428555</v>
      </c>
      <c r="H47" s="7"/>
      <c r="I47" s="7"/>
      <c r="J47" s="10"/>
    </row>
    <row r="48" spans="1:10" x14ac:dyDescent="0.2">
      <c r="A48">
        <f t="shared" si="7"/>
        <v>46</v>
      </c>
      <c r="B48" s="8">
        <f t="shared" si="3"/>
        <v>1080000</v>
      </c>
      <c r="C48" s="7">
        <f t="shared" si="9"/>
        <v>437358364.18598515</v>
      </c>
      <c r="D48" s="7">
        <f t="shared" si="0"/>
        <v>438438364.18598515</v>
      </c>
      <c r="E48" s="7">
        <f t="shared" si="4"/>
        <v>76811496.575175941</v>
      </c>
      <c r="F48" s="7">
        <f t="shared" si="8"/>
        <v>33396.302858772149</v>
      </c>
      <c r="G48" s="9">
        <f t="shared" si="5"/>
        <v>1.8195439355418688</v>
      </c>
      <c r="H48" s="7"/>
      <c r="I48" s="7"/>
      <c r="J48" s="10"/>
    </row>
    <row r="49" spans="1:10" x14ac:dyDescent="0.2">
      <c r="A49">
        <f t="shared" si="7"/>
        <v>47</v>
      </c>
      <c r="B49" s="8">
        <f t="shared" si="3"/>
        <v>1127000</v>
      </c>
      <c r="C49" s="7">
        <f t="shared" si="9"/>
        <v>528887897.11477804</v>
      </c>
      <c r="D49" s="7">
        <f t="shared" si="0"/>
        <v>530014897.11477804</v>
      </c>
      <c r="E49" s="7">
        <f t="shared" si="4"/>
        <v>91576532.928792894</v>
      </c>
      <c r="F49" s="7">
        <f t="shared" si="8"/>
        <v>38968.737416507618</v>
      </c>
      <c r="G49" s="9">
        <f t="shared" si="5"/>
        <v>1.8260748027008264</v>
      </c>
      <c r="H49" s="7"/>
      <c r="I49" s="7"/>
      <c r="J49" s="10"/>
    </row>
    <row r="50" spans="1:10" x14ac:dyDescent="0.2">
      <c r="A50">
        <f t="shared" si="7"/>
        <v>48</v>
      </c>
      <c r="B50" s="8">
        <f t="shared" si="3"/>
        <v>1175000</v>
      </c>
      <c r="C50" s="7">
        <f t="shared" si="9"/>
        <v>637734230.42806315</v>
      </c>
      <c r="D50" s="7">
        <f t="shared" si="0"/>
        <v>638909230.42806315</v>
      </c>
      <c r="E50" s="7">
        <f t="shared" si="4"/>
        <v>108894333.31328511</v>
      </c>
      <c r="F50" s="7">
        <f t="shared" si="8"/>
        <v>45372.638880535465</v>
      </c>
      <c r="G50" s="9">
        <f t="shared" si="5"/>
        <v>1.8325089127062364</v>
      </c>
      <c r="H50" s="7"/>
      <c r="I50" s="7"/>
      <c r="J50" s="10"/>
    </row>
    <row r="51" spans="1:10" x14ac:dyDescent="0.2">
      <c r="A51">
        <f t="shared" si="7"/>
        <v>49</v>
      </c>
      <c r="B51" s="8">
        <f t="shared" si="3"/>
        <v>1224000</v>
      </c>
      <c r="C51" s="7">
        <f t="shared" si="9"/>
        <v>766844672.54828405</v>
      </c>
      <c r="D51" s="7">
        <f t="shared" si="0"/>
        <v>768068672.54828405</v>
      </c>
      <c r="E51" s="7">
        <f t="shared" si="4"/>
        <v>129159442.1202209</v>
      </c>
      <c r="F51" s="7">
        <f t="shared" si="8"/>
        <v>52718.139640906491</v>
      </c>
      <c r="G51" s="9">
        <f t="shared" si="5"/>
        <v>1.8388490907372552</v>
      </c>
      <c r="H51" s="7"/>
      <c r="I51" s="7"/>
      <c r="J51" s="10"/>
    </row>
    <row r="52" spans="1:10" x14ac:dyDescent="0.2">
      <c r="A52">
        <f t="shared" si="7"/>
        <v>50</v>
      </c>
      <c r="B52" s="8">
        <f t="shared" si="3"/>
        <v>1274000</v>
      </c>
      <c r="C52" s="7">
        <f t="shared" si="9"/>
        <v>919615218.91649449</v>
      </c>
      <c r="D52" s="7">
        <f t="shared" si="0"/>
        <v>920889218.91649449</v>
      </c>
      <c r="E52" s="7">
        <f t="shared" si="4"/>
        <v>152820546.36821043</v>
      </c>
      <c r="F52" s="7">
        <f t="shared" si="8"/>
        <v>61128.218547284174</v>
      </c>
      <c r="G52" s="9">
        <f t="shared" si="5"/>
        <v>1.8450980400142569</v>
      </c>
      <c r="H52" s="7"/>
      <c r="I52" s="7"/>
      <c r="J52" s="10"/>
    </row>
    <row r="53" spans="1:10" x14ac:dyDescent="0.2">
      <c r="A53">
        <f t="shared" si="7"/>
        <v>51</v>
      </c>
      <c r="B53" s="8">
        <f t="shared" si="3"/>
        <v>1325000</v>
      </c>
      <c r="C53" s="7">
        <f t="shared" si="9"/>
        <v>1099951239.4159462</v>
      </c>
      <c r="D53" s="7">
        <f t="shared" si="0"/>
        <v>1101276239.4159462</v>
      </c>
      <c r="E53" s="7">
        <f t="shared" si="4"/>
        <v>180387020.49945176</v>
      </c>
      <c r="F53" s="7">
        <f t="shared" si="8"/>
        <v>70740.008039000691</v>
      </c>
      <c r="G53" s="9">
        <f t="shared" si="5"/>
        <v>1.8512583487190752</v>
      </c>
      <c r="H53" s="7"/>
      <c r="I53" s="7"/>
      <c r="J53" s="10"/>
    </row>
    <row r="54" spans="1:10" x14ac:dyDescent="0.2">
      <c r="A54">
        <f t="shared" si="7"/>
        <v>52</v>
      </c>
      <c r="B54" s="8">
        <f t="shared" si="3"/>
        <v>1377000</v>
      </c>
      <c r="C54" s="7">
        <f t="shared" si="9"/>
        <v>1312335400.9684417</v>
      </c>
      <c r="D54" s="7">
        <f t="shared" si="0"/>
        <v>1313712400.9684417</v>
      </c>
      <c r="E54" s="7">
        <f t="shared" si="4"/>
        <v>212436161.55249548</v>
      </c>
      <c r="F54" s="7">
        <f t="shared" si="8"/>
        <v>81706.215981729038</v>
      </c>
      <c r="G54" s="9">
        <f t="shared" si="5"/>
        <v>1.8573324964312685</v>
      </c>
      <c r="H54" s="7"/>
      <c r="I54" s="7"/>
      <c r="J54" s="10"/>
    </row>
    <row r="55" spans="1:10" x14ac:dyDescent="0.2">
      <c r="A55">
        <f t="shared" si="7"/>
        <v>53</v>
      </c>
      <c r="B55" s="8">
        <f t="shared" si="3"/>
        <v>1430000</v>
      </c>
      <c r="C55" s="7">
        <f t="shared" si="9"/>
        <v>1561903578.5214372</v>
      </c>
      <c r="D55" s="7">
        <f t="shared" si="0"/>
        <v>1563333578.5214372</v>
      </c>
      <c r="E55" s="7">
        <f t="shared" si="4"/>
        <v>249621177.55299544</v>
      </c>
      <c r="F55" s="7">
        <f t="shared" si="8"/>
        <v>94196.670774715269</v>
      </c>
      <c r="G55" s="9">
        <f t="shared" si="5"/>
        <v>1.8633228601204559</v>
      </c>
      <c r="H55" s="7"/>
      <c r="I55" s="7"/>
      <c r="J55" s="10"/>
    </row>
    <row r="56" spans="1:10" x14ac:dyDescent="0.2">
      <c r="A56">
        <f t="shared" si="7"/>
        <v>54</v>
      </c>
      <c r="B56" s="8">
        <f t="shared" si="3"/>
        <v>1484000</v>
      </c>
      <c r="C56" s="7">
        <f t="shared" si="9"/>
        <v>1854529575.3564067</v>
      </c>
      <c r="D56" s="7">
        <f t="shared" si="0"/>
        <v>1856013575.3564067</v>
      </c>
      <c r="E56" s="7">
        <f t="shared" si="4"/>
        <v>292679996.83496952</v>
      </c>
      <c r="F56" s="7">
        <f t="shared" si="8"/>
        <v>108399.9988277665</v>
      </c>
      <c r="G56" s="9">
        <f t="shared" si="5"/>
        <v>1.8692317197309762</v>
      </c>
      <c r="H56" s="7"/>
      <c r="I56" s="7"/>
      <c r="J56" s="10"/>
    </row>
    <row r="57" spans="1:10" x14ac:dyDescent="0.2">
      <c r="A57">
        <f t="shared" si="7"/>
        <v>55</v>
      </c>
      <c r="B57" s="8">
        <f t="shared" si="3"/>
        <v>1539000</v>
      </c>
      <c r="C57" s="7">
        <f t="shared" si="9"/>
        <v>2196919546.5479708</v>
      </c>
      <c r="D57" s="7">
        <f t="shared" si="0"/>
        <v>2198458546.5479708</v>
      </c>
      <c r="E57" s="7">
        <f t="shared" si="4"/>
        <v>342444971.19156408</v>
      </c>
      <c r="F57" s="7">
        <f t="shared" si="8"/>
        <v>124525.44406965967</v>
      </c>
      <c r="G57" s="9">
        <f t="shared" si="5"/>
        <v>1.8750612633917001</v>
      </c>
      <c r="H57" s="7"/>
      <c r="I57" s="7"/>
      <c r="J57" s="10"/>
    </row>
    <row r="58" spans="1:10" x14ac:dyDescent="0.2">
      <c r="A58">
        <f t="shared" si="7"/>
        <v>56</v>
      </c>
      <c r="B58" s="8">
        <f t="shared" si="3"/>
        <v>1595000</v>
      </c>
      <c r="C58" s="7">
        <f t="shared" si="9"/>
        <v>2596717097.8223486</v>
      </c>
      <c r="D58" s="7">
        <f t="shared" si="0"/>
        <v>2598312097.8223486</v>
      </c>
      <c r="E58" s="7">
        <f t="shared" si="4"/>
        <v>399853551.27437782</v>
      </c>
      <c r="F58" s="7">
        <f t="shared" si="8"/>
        <v>142804.83974084922</v>
      </c>
      <c r="G58" s="9">
        <f t="shared" si="5"/>
        <v>1.8808135922807914</v>
      </c>
      <c r="H58" s="7"/>
      <c r="I58" s="7"/>
      <c r="J58" s="10"/>
    </row>
    <row r="59" spans="1:10" x14ac:dyDescent="0.2">
      <c r="A59">
        <f t="shared" si="7"/>
        <v>57</v>
      </c>
      <c r="B59" s="8">
        <f t="shared" si="3"/>
        <v>1652000</v>
      </c>
      <c r="C59" s="7">
        <f t="shared" si="9"/>
        <v>3062620116.3533292</v>
      </c>
      <c r="D59" s="7">
        <f t="shared" si="0"/>
        <v>3064272116.3533292</v>
      </c>
      <c r="E59" s="7">
        <f t="shared" si="4"/>
        <v>465960018.53098059</v>
      </c>
      <c r="F59" s="7">
        <f t="shared" si="8"/>
        <v>163494.74334420371</v>
      </c>
      <c r="G59" s="9">
        <f t="shared" si="5"/>
        <v>1.8864907251724818</v>
      </c>
      <c r="H59" s="7"/>
      <c r="I59" s="7"/>
      <c r="J59" s="10"/>
    </row>
    <row r="60" spans="1:10" x14ac:dyDescent="0.2">
      <c r="A60">
        <f t="shared" si="7"/>
        <v>58</v>
      </c>
      <c r="B60" s="8">
        <f t="shared" si="3"/>
        <v>1710000</v>
      </c>
      <c r="C60" s="7">
        <f t="shared" si="9"/>
        <v>3604510480.5629511</v>
      </c>
      <c r="D60" s="7">
        <f t="shared" si="0"/>
        <v>3606220480.5629511</v>
      </c>
      <c r="E60" s="7">
        <f t="shared" si="4"/>
        <v>541948364.20962191</v>
      </c>
      <c r="F60" s="7">
        <f t="shared" si="8"/>
        <v>186878.74627917996</v>
      </c>
      <c r="G60" s="9">
        <f t="shared" si="5"/>
        <v>1.8920946026904804</v>
      </c>
      <c r="H60" s="7"/>
      <c r="I60" s="7"/>
      <c r="J60" s="10"/>
    </row>
    <row r="61" spans="1:10" x14ac:dyDescent="0.2">
      <c r="A61">
        <f t="shared" si="7"/>
        <v>59</v>
      </c>
      <c r="B61" s="8">
        <f t="shared" si="3"/>
        <v>1769000</v>
      </c>
      <c r="C61" s="7">
        <f t="shared" si="9"/>
        <v>4233597893.151392</v>
      </c>
      <c r="D61" s="7">
        <f t="shared" si="0"/>
        <v>4235366893.151392</v>
      </c>
      <c r="E61" s="7">
        <f t="shared" si="4"/>
        <v>629146412.5884409</v>
      </c>
      <c r="F61" s="7">
        <f t="shared" si="8"/>
        <v>213269.97036896303</v>
      </c>
      <c r="G61" s="9">
        <f t="shared" si="5"/>
        <v>1.8976270912904414</v>
      </c>
      <c r="H61" s="7"/>
      <c r="I61" s="7"/>
      <c r="J61" s="10"/>
    </row>
    <row r="62" spans="1:10" x14ac:dyDescent="0.2">
      <c r="A62">
        <f t="shared" si="7"/>
        <v>60</v>
      </c>
      <c r="B62" s="8">
        <f t="shared" si="3"/>
        <v>1829000</v>
      </c>
      <c r="C62" s="7">
        <f t="shared" si="9"/>
        <v>4962579185.7737799</v>
      </c>
      <c r="D62" s="7">
        <f t="shared" si="0"/>
        <v>4964408185.7737799</v>
      </c>
      <c r="E62" s="7">
        <f t="shared" si="4"/>
        <v>729041292.62238789</v>
      </c>
      <c r="F62" s="7">
        <f t="shared" si="8"/>
        <v>243013.76420746263</v>
      </c>
      <c r="G62" s="9">
        <f t="shared" si="5"/>
        <v>1.9030899869919435</v>
      </c>
      <c r="H62" s="7"/>
      <c r="I62" s="7"/>
      <c r="J62" s="10"/>
    </row>
    <row r="63" spans="1:10" x14ac:dyDescent="0.2">
      <c r="B63" s="8"/>
      <c r="C63" s="9"/>
      <c r="E63" s="7"/>
      <c r="F63" s="7"/>
      <c r="G63" s="9"/>
    </row>
    <row r="64" spans="1:10" x14ac:dyDescent="0.2">
      <c r="B64" s="8"/>
      <c r="C64" s="9"/>
      <c r="E64" s="7"/>
      <c r="F64" s="7"/>
      <c r="G64" s="9"/>
    </row>
    <row r="65" spans="2:7" x14ac:dyDescent="0.2">
      <c r="B65" s="8"/>
      <c r="C65" s="9"/>
      <c r="E65" s="7"/>
      <c r="F65" s="7"/>
      <c r="G65" s="9"/>
    </row>
    <row r="66" spans="2:7" x14ac:dyDescent="0.2">
      <c r="B66" s="8"/>
      <c r="C66" s="9"/>
      <c r="E66" s="7"/>
      <c r="F66" s="7"/>
      <c r="G66" s="9"/>
    </row>
    <row r="67" spans="2:7" x14ac:dyDescent="0.2">
      <c r="B67" s="8"/>
      <c r="C67" s="9"/>
      <c r="E67" s="7"/>
      <c r="F67" s="7"/>
      <c r="G67" s="9"/>
    </row>
    <row r="68" spans="2:7" x14ac:dyDescent="0.2">
      <c r="B68" s="8"/>
      <c r="C68" s="9"/>
      <c r="E68" s="7"/>
      <c r="F68" s="7"/>
      <c r="G68" s="9"/>
    </row>
    <row r="69" spans="2:7" x14ac:dyDescent="0.2">
      <c r="B69" s="8"/>
      <c r="C69" s="9"/>
      <c r="E69" s="7"/>
      <c r="F69" s="7"/>
      <c r="G69" s="9"/>
    </row>
    <row r="70" spans="2:7" x14ac:dyDescent="0.2">
      <c r="B70" s="8"/>
      <c r="C70" s="9"/>
      <c r="E70" s="7"/>
      <c r="F70" s="7"/>
      <c r="G70" s="9"/>
    </row>
    <row r="71" spans="2:7" x14ac:dyDescent="0.2">
      <c r="B71" s="8"/>
      <c r="C71" s="9"/>
      <c r="E71" s="7"/>
      <c r="F71" s="7"/>
      <c r="G71" s="9"/>
    </row>
    <row r="72" spans="2:7" x14ac:dyDescent="0.2">
      <c r="B72" s="8"/>
      <c r="C72" s="9"/>
      <c r="E72" s="7"/>
      <c r="F72" s="7"/>
      <c r="G72" s="9"/>
    </row>
    <row r="73" spans="2:7" x14ac:dyDescent="0.2">
      <c r="B73" s="8"/>
      <c r="C73" s="9"/>
      <c r="E73" s="7"/>
      <c r="F73" s="7"/>
      <c r="G73" s="9"/>
    </row>
    <row r="74" spans="2:7" x14ac:dyDescent="0.2">
      <c r="B74" s="8"/>
      <c r="C74" s="9"/>
      <c r="E74" s="7"/>
      <c r="F74" s="7"/>
      <c r="G74" s="9"/>
    </row>
    <row r="75" spans="2:7" x14ac:dyDescent="0.2">
      <c r="B75" s="8"/>
      <c r="C75" s="9"/>
      <c r="E75" s="7"/>
      <c r="F75" s="7"/>
      <c r="G75" s="9"/>
    </row>
    <row r="76" spans="2:7" x14ac:dyDescent="0.2">
      <c r="B76" s="8"/>
      <c r="C76" s="9"/>
      <c r="E76" s="7"/>
      <c r="F76" s="7"/>
      <c r="G76" s="9"/>
    </row>
    <row r="77" spans="2:7" x14ac:dyDescent="0.2">
      <c r="B77" s="8"/>
      <c r="C77" s="9"/>
      <c r="E77" s="7"/>
      <c r="F77" s="7"/>
      <c r="G77" s="9"/>
    </row>
    <row r="78" spans="2:7" x14ac:dyDescent="0.2">
      <c r="B78" s="8"/>
      <c r="C78" s="9"/>
      <c r="E78" s="7"/>
      <c r="F78" s="7"/>
      <c r="G78" s="9"/>
    </row>
    <row r="79" spans="2:7" x14ac:dyDescent="0.2">
      <c r="B79" s="8"/>
      <c r="C79" s="9"/>
      <c r="E79" s="7"/>
      <c r="F79" s="7"/>
      <c r="G79" s="9"/>
    </row>
    <row r="80" spans="2:7" x14ac:dyDescent="0.2">
      <c r="B80" s="8"/>
      <c r="C80" s="9"/>
      <c r="E80" s="7"/>
      <c r="F80" s="7"/>
      <c r="G80" s="9"/>
    </row>
    <row r="81" spans="2:7" x14ac:dyDescent="0.2">
      <c r="B81" s="8"/>
      <c r="C81" s="9"/>
      <c r="E81" s="7"/>
      <c r="F81" s="7"/>
      <c r="G81" s="9"/>
    </row>
    <row r="82" spans="2:7" x14ac:dyDescent="0.2">
      <c r="B82" s="8"/>
      <c r="C82" s="9"/>
      <c r="E82" s="7"/>
      <c r="F82" s="7"/>
      <c r="G82" s="9"/>
    </row>
    <row r="83" spans="2:7" x14ac:dyDescent="0.2">
      <c r="B83" s="8"/>
      <c r="C83" s="9"/>
      <c r="E83" s="7"/>
      <c r="F83" s="7"/>
      <c r="G83" s="9"/>
    </row>
    <row r="84" spans="2:7" x14ac:dyDescent="0.2">
      <c r="B84" s="8"/>
      <c r="C84" s="9"/>
      <c r="E84" s="7"/>
      <c r="F84" s="7"/>
      <c r="G84" s="9"/>
    </row>
    <row r="85" spans="2:7" x14ac:dyDescent="0.2">
      <c r="B85" s="8"/>
      <c r="C85" s="9"/>
      <c r="E85" s="7"/>
      <c r="F85" s="7"/>
      <c r="G85" s="9"/>
    </row>
    <row r="86" spans="2:7" x14ac:dyDescent="0.2">
      <c r="B86" s="8"/>
      <c r="C86" s="9"/>
      <c r="E86" s="7"/>
      <c r="F86" s="7"/>
      <c r="G86" s="9"/>
    </row>
    <row r="87" spans="2:7" x14ac:dyDescent="0.2">
      <c r="B87" s="8"/>
      <c r="C87" s="9"/>
      <c r="E87" s="7"/>
      <c r="F87" s="7"/>
      <c r="G87" s="9"/>
    </row>
    <row r="88" spans="2:7" x14ac:dyDescent="0.2">
      <c r="B88" s="8"/>
      <c r="C88" s="9"/>
      <c r="E88" s="7"/>
      <c r="F88" s="7"/>
      <c r="G88" s="9"/>
    </row>
    <row r="89" spans="2:7" x14ac:dyDescent="0.2">
      <c r="B89" s="8"/>
      <c r="C89" s="9"/>
      <c r="E89" s="7"/>
      <c r="F89" s="7"/>
      <c r="G89" s="9"/>
    </row>
    <row r="90" spans="2:7" x14ac:dyDescent="0.2">
      <c r="B90" s="8"/>
      <c r="C90" s="9"/>
      <c r="E90" s="7"/>
      <c r="F90" s="7"/>
      <c r="G90" s="9"/>
    </row>
    <row r="91" spans="2:7" x14ac:dyDescent="0.2">
      <c r="B91" s="8"/>
      <c r="C91" s="9"/>
      <c r="E91" s="7"/>
      <c r="F91" s="7"/>
      <c r="G91" s="9"/>
    </row>
    <row r="92" spans="2:7" x14ac:dyDescent="0.2">
      <c r="B92" s="8"/>
      <c r="C92" s="9"/>
      <c r="E92" s="7"/>
      <c r="F92" s="7"/>
      <c r="G92" s="9"/>
    </row>
    <row r="93" spans="2:7" x14ac:dyDescent="0.2">
      <c r="B93" s="8"/>
      <c r="C93" s="9"/>
      <c r="E93" s="7"/>
      <c r="F93" s="7"/>
      <c r="G93" s="9"/>
    </row>
    <row r="94" spans="2:7" x14ac:dyDescent="0.2">
      <c r="B94" s="8"/>
      <c r="C94" s="9"/>
      <c r="E94" s="7"/>
      <c r="F94" s="7"/>
      <c r="G94" s="9"/>
    </row>
    <row r="95" spans="2:7" x14ac:dyDescent="0.2">
      <c r="B95" s="8"/>
      <c r="C95" s="9"/>
      <c r="E95" s="7"/>
      <c r="F95" s="7"/>
      <c r="G95" s="9"/>
    </row>
    <row r="96" spans="2:7" x14ac:dyDescent="0.2">
      <c r="B96" s="8"/>
      <c r="C96" s="9"/>
      <c r="E96" s="7"/>
      <c r="F96" s="7"/>
      <c r="G96" s="9"/>
    </row>
    <row r="97" spans="2:7" x14ac:dyDescent="0.2">
      <c r="B97" s="8"/>
      <c r="C97" s="9"/>
      <c r="E97" s="7"/>
      <c r="F97" s="7"/>
      <c r="G97" s="9"/>
    </row>
    <row r="98" spans="2:7" x14ac:dyDescent="0.2">
      <c r="B98" s="8"/>
      <c r="C98" s="9"/>
      <c r="E98" s="7"/>
      <c r="F98" s="7"/>
      <c r="G98" s="9"/>
    </row>
    <row r="99" spans="2:7" x14ac:dyDescent="0.2">
      <c r="B99" s="8"/>
      <c r="C99" s="9"/>
      <c r="E99" s="7"/>
      <c r="F99" s="7"/>
      <c r="G99" s="9"/>
    </row>
    <row r="100" spans="2:7" x14ac:dyDescent="0.2">
      <c r="B100" s="8"/>
      <c r="C100" s="9"/>
      <c r="E100" s="7"/>
      <c r="F100" s="7"/>
      <c r="G100" s="9"/>
    </row>
    <row r="101" spans="2:7" x14ac:dyDescent="0.2">
      <c r="B101" s="8"/>
      <c r="C101" s="9"/>
      <c r="E101" s="7"/>
      <c r="F101" s="7"/>
      <c r="G101" s="9"/>
    </row>
    <row r="102" spans="2:7" x14ac:dyDescent="0.2">
      <c r="B102" s="8"/>
      <c r="C102" s="9"/>
      <c r="E102" s="7"/>
      <c r="F102" s="7"/>
      <c r="G102" s="9"/>
    </row>
    <row r="103" spans="2:7" x14ac:dyDescent="0.2">
      <c r="B103" s="8"/>
      <c r="C103" s="9"/>
      <c r="E103" s="7"/>
      <c r="F103" s="7"/>
      <c r="G103" s="9"/>
    </row>
    <row r="104" spans="2:7" x14ac:dyDescent="0.2">
      <c r="B104" s="8"/>
      <c r="C104" s="9"/>
      <c r="E104" s="7"/>
      <c r="F104" s="7"/>
      <c r="G104" s="9"/>
    </row>
    <row r="105" spans="2:7" x14ac:dyDescent="0.2">
      <c r="B105" s="8"/>
      <c r="C105" s="9"/>
      <c r="E105" s="7"/>
      <c r="F105" s="7"/>
      <c r="G105" s="9"/>
    </row>
    <row r="106" spans="2:7" x14ac:dyDescent="0.2">
      <c r="B106" s="8"/>
      <c r="C106" s="9"/>
      <c r="E106" s="7"/>
      <c r="F106" s="7"/>
      <c r="G106" s="9"/>
    </row>
    <row r="107" spans="2:7" x14ac:dyDescent="0.2">
      <c r="B107" s="8"/>
      <c r="C107" s="9"/>
      <c r="E107" s="7"/>
      <c r="F107" s="7"/>
      <c r="G107" s="9"/>
    </row>
    <row r="108" spans="2:7" x14ac:dyDescent="0.2">
      <c r="B108" s="8"/>
      <c r="C108" s="9"/>
      <c r="E108" s="7"/>
      <c r="F108" s="7"/>
      <c r="G108" s="9"/>
    </row>
    <row r="109" spans="2:7" x14ac:dyDescent="0.2">
      <c r="B109" s="8"/>
      <c r="C109" s="9"/>
      <c r="E109" s="7"/>
      <c r="F109" s="7"/>
      <c r="G109" s="9"/>
    </row>
    <row r="110" spans="2:7" x14ac:dyDescent="0.2">
      <c r="B110" s="8"/>
      <c r="C110" s="9"/>
      <c r="E110" s="7"/>
      <c r="F110" s="7"/>
      <c r="G110" s="9"/>
    </row>
    <row r="111" spans="2:7" x14ac:dyDescent="0.2">
      <c r="B111" s="8"/>
      <c r="C111" s="9"/>
      <c r="E111" s="7"/>
      <c r="F111" s="7"/>
      <c r="G111" s="9"/>
    </row>
    <row r="112" spans="2:7" x14ac:dyDescent="0.2">
      <c r="B112" s="8"/>
      <c r="C112" s="9"/>
      <c r="E112" s="7"/>
      <c r="F112" s="7"/>
      <c r="G112" s="9"/>
    </row>
    <row r="113" spans="2:7" x14ac:dyDescent="0.2">
      <c r="B113" s="8"/>
      <c r="C113" s="9"/>
      <c r="E113" s="7"/>
      <c r="F113" s="7"/>
      <c r="G113" s="9"/>
    </row>
    <row r="114" spans="2:7" x14ac:dyDescent="0.2">
      <c r="B114" s="8"/>
      <c r="C114" s="9"/>
      <c r="E114" s="7"/>
      <c r="F114" s="7"/>
      <c r="G114" s="9"/>
    </row>
    <row r="115" spans="2:7" x14ac:dyDescent="0.2">
      <c r="B115" s="8"/>
      <c r="C115" s="9"/>
      <c r="E115" s="7"/>
      <c r="F115" s="7"/>
      <c r="G115" s="9"/>
    </row>
    <row r="116" spans="2:7" x14ac:dyDescent="0.2">
      <c r="B116" s="8"/>
      <c r="C116" s="9"/>
      <c r="E116" s="7"/>
      <c r="F116" s="7"/>
      <c r="G116" s="9"/>
    </row>
    <row r="117" spans="2:7" x14ac:dyDescent="0.2">
      <c r="B117" s="8"/>
      <c r="C117" s="9"/>
      <c r="E117" s="7"/>
      <c r="F117" s="7"/>
      <c r="G117" s="9"/>
    </row>
    <row r="118" spans="2:7" x14ac:dyDescent="0.2">
      <c r="B118" s="8"/>
      <c r="C118" s="9"/>
      <c r="E118" s="7"/>
      <c r="F118" s="7"/>
      <c r="G118" s="9"/>
    </row>
    <row r="119" spans="2:7" x14ac:dyDescent="0.2">
      <c r="B119" s="8"/>
      <c r="C119" s="9"/>
      <c r="E119" s="7"/>
      <c r="F119" s="7"/>
      <c r="G119" s="9"/>
    </row>
    <row r="120" spans="2:7" x14ac:dyDescent="0.2">
      <c r="B120" s="8"/>
      <c r="C120" s="9"/>
      <c r="E120" s="7"/>
      <c r="F120" s="7"/>
      <c r="G120" s="9"/>
    </row>
    <row r="121" spans="2:7" x14ac:dyDescent="0.2">
      <c r="B121" s="8"/>
      <c r="C121" s="9"/>
      <c r="E121" s="7"/>
      <c r="F121" s="7"/>
      <c r="G121" s="9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E27" sqref="E27"/>
    </sheetView>
  </sheetViews>
  <sheetFormatPr defaultRowHeight="12.75" x14ac:dyDescent="0.2"/>
  <cols>
    <col min="7" max="7" width="9.140625" style="4"/>
    <col min="8" max="8" width="18" customWidth="1"/>
  </cols>
  <sheetData>
    <row r="1" spans="1:9" x14ac:dyDescent="0.2">
      <c r="A1" s="1" t="s">
        <v>0</v>
      </c>
      <c r="B1" s="1" t="s">
        <v>1</v>
      </c>
      <c r="C1" s="1" t="s">
        <v>19</v>
      </c>
      <c r="D1" s="1" t="s">
        <v>21</v>
      </c>
      <c r="E1" s="1" t="s">
        <v>23</v>
      </c>
      <c r="F1" s="1" t="s">
        <v>24</v>
      </c>
      <c r="G1" s="3" t="s">
        <v>19</v>
      </c>
    </row>
    <row r="2" spans="1:9" x14ac:dyDescent="0.2">
      <c r="A2" s="1" t="s">
        <v>19</v>
      </c>
      <c r="B2" s="1" t="s">
        <v>19</v>
      </c>
      <c r="C2" s="1" t="s">
        <v>20</v>
      </c>
      <c r="D2" s="1" t="s">
        <v>22</v>
      </c>
      <c r="E2" s="1" t="s">
        <v>22</v>
      </c>
      <c r="F2" s="1" t="s">
        <v>22</v>
      </c>
      <c r="G2" s="3" t="s">
        <v>20</v>
      </c>
      <c r="H2" s="5" t="s">
        <v>17</v>
      </c>
      <c r="I2" s="5" t="s">
        <v>18</v>
      </c>
    </row>
    <row r="3" spans="1:9" x14ac:dyDescent="0.2">
      <c r="A3" s="2">
        <v>10</v>
      </c>
      <c r="B3" s="2">
        <v>1</v>
      </c>
      <c r="C3" s="2">
        <f>+A3-B3</f>
        <v>9</v>
      </c>
      <c r="D3" s="2">
        <f t="shared" ref="D3:D27" si="0">IF(100-(C3-2)*20&gt;100,100,IF(100-(C3-2)*20&lt;0,0,100-(C3-2)*20))</f>
        <v>0</v>
      </c>
      <c r="E3" s="2">
        <f>+B3*50</f>
        <v>50</v>
      </c>
      <c r="F3" s="2">
        <f t="shared" ref="F3:F8" si="1">D3/100*E3</f>
        <v>0</v>
      </c>
      <c r="G3" s="4">
        <f>+B3-A3</f>
        <v>-9</v>
      </c>
      <c r="H3" t="s">
        <v>4</v>
      </c>
      <c r="I3" t="s">
        <v>13</v>
      </c>
    </row>
    <row r="4" spans="1:9" x14ac:dyDescent="0.2">
      <c r="A4" s="2">
        <f>+A3+0</f>
        <v>10</v>
      </c>
      <c r="B4" s="2">
        <f t="shared" ref="B4:B27" si="2">+B3+1</f>
        <v>2</v>
      </c>
      <c r="C4" s="2">
        <f t="shared" ref="C4:C27" si="3">+A4-B4</f>
        <v>8</v>
      </c>
      <c r="D4" s="2">
        <f t="shared" si="0"/>
        <v>0</v>
      </c>
      <c r="E4" s="2">
        <f t="shared" ref="E4:E27" si="4">+B4*50</f>
        <v>100</v>
      </c>
      <c r="F4" s="2">
        <f t="shared" si="1"/>
        <v>0</v>
      </c>
      <c r="G4" s="4">
        <f t="shared" ref="G4:G27" si="5">+B4-A4</f>
        <v>-8</v>
      </c>
      <c r="H4" t="s">
        <v>4</v>
      </c>
      <c r="I4" t="s">
        <v>13</v>
      </c>
    </row>
    <row r="5" spans="1:9" x14ac:dyDescent="0.2">
      <c r="A5" s="2">
        <f t="shared" ref="A5:A27" si="6">+A4+0</f>
        <v>10</v>
      </c>
      <c r="B5" s="2">
        <f t="shared" si="2"/>
        <v>3</v>
      </c>
      <c r="C5" s="2">
        <f t="shared" si="3"/>
        <v>7</v>
      </c>
      <c r="D5" s="2">
        <f t="shared" si="0"/>
        <v>0</v>
      </c>
      <c r="E5" s="2">
        <f t="shared" si="4"/>
        <v>150</v>
      </c>
      <c r="F5" s="2">
        <f t="shared" si="1"/>
        <v>0</v>
      </c>
      <c r="G5" s="4">
        <f t="shared" si="5"/>
        <v>-7</v>
      </c>
      <c r="H5" t="s">
        <v>4</v>
      </c>
      <c r="I5" t="s">
        <v>13</v>
      </c>
    </row>
    <row r="6" spans="1:9" x14ac:dyDescent="0.2">
      <c r="A6" s="2">
        <f t="shared" si="6"/>
        <v>10</v>
      </c>
      <c r="B6" s="2">
        <f t="shared" si="2"/>
        <v>4</v>
      </c>
      <c r="C6" s="2">
        <f t="shared" si="3"/>
        <v>6</v>
      </c>
      <c r="D6" s="2">
        <f t="shared" si="0"/>
        <v>20</v>
      </c>
      <c r="E6" s="2">
        <f t="shared" si="4"/>
        <v>200</v>
      </c>
      <c r="F6" s="2">
        <f t="shared" si="1"/>
        <v>40</v>
      </c>
      <c r="G6" s="4">
        <f t="shared" si="5"/>
        <v>-6</v>
      </c>
      <c r="H6" t="s">
        <v>7</v>
      </c>
      <c r="I6" t="s">
        <v>13</v>
      </c>
    </row>
    <row r="7" spans="1:9" x14ac:dyDescent="0.2">
      <c r="A7" s="2">
        <f t="shared" si="6"/>
        <v>10</v>
      </c>
      <c r="B7" s="2">
        <f t="shared" si="2"/>
        <v>5</v>
      </c>
      <c r="C7" s="2">
        <f t="shared" si="3"/>
        <v>5</v>
      </c>
      <c r="D7" s="2">
        <f t="shared" si="0"/>
        <v>40</v>
      </c>
      <c r="E7" s="2">
        <f t="shared" si="4"/>
        <v>250</v>
      </c>
      <c r="F7" s="2">
        <f t="shared" si="1"/>
        <v>100</v>
      </c>
      <c r="G7" s="4">
        <f t="shared" si="5"/>
        <v>-5</v>
      </c>
      <c r="H7" t="s">
        <v>11</v>
      </c>
      <c r="I7" t="s">
        <v>13</v>
      </c>
    </row>
    <row r="8" spans="1:9" x14ac:dyDescent="0.2">
      <c r="A8" s="2">
        <f t="shared" si="6"/>
        <v>10</v>
      </c>
      <c r="B8" s="2">
        <f t="shared" si="2"/>
        <v>6</v>
      </c>
      <c r="C8" s="2">
        <f t="shared" si="3"/>
        <v>4</v>
      </c>
      <c r="D8" s="2">
        <f t="shared" si="0"/>
        <v>60</v>
      </c>
      <c r="E8" s="2">
        <f t="shared" si="4"/>
        <v>300</v>
      </c>
      <c r="F8" s="2">
        <f t="shared" si="1"/>
        <v>180</v>
      </c>
      <c r="G8" s="4">
        <f t="shared" si="5"/>
        <v>-4</v>
      </c>
      <c r="H8" t="s">
        <v>8</v>
      </c>
      <c r="I8" t="s">
        <v>14</v>
      </c>
    </row>
    <row r="9" spans="1:9" x14ac:dyDescent="0.2">
      <c r="A9" s="2">
        <f t="shared" si="6"/>
        <v>10</v>
      </c>
      <c r="B9" s="2">
        <f t="shared" si="2"/>
        <v>7</v>
      </c>
      <c r="C9" s="2">
        <f t="shared" si="3"/>
        <v>3</v>
      </c>
      <c r="D9" s="2">
        <f t="shared" si="0"/>
        <v>80</v>
      </c>
      <c r="E9" s="2">
        <f t="shared" si="4"/>
        <v>350</v>
      </c>
      <c r="F9" s="2">
        <f t="shared" ref="F9:F27" si="7">D9/100*E9</f>
        <v>280</v>
      </c>
      <c r="G9" s="4">
        <f t="shared" si="5"/>
        <v>-3</v>
      </c>
      <c r="H9" t="s">
        <v>10</v>
      </c>
      <c r="I9" t="s">
        <v>14</v>
      </c>
    </row>
    <row r="10" spans="1:9" x14ac:dyDescent="0.2">
      <c r="A10" s="2">
        <f t="shared" si="6"/>
        <v>10</v>
      </c>
      <c r="B10" s="2">
        <f t="shared" si="2"/>
        <v>8</v>
      </c>
      <c r="C10" s="2">
        <f t="shared" si="3"/>
        <v>2</v>
      </c>
      <c r="D10" s="2">
        <f t="shared" si="0"/>
        <v>100</v>
      </c>
      <c r="E10" s="2">
        <f t="shared" si="4"/>
        <v>400</v>
      </c>
      <c r="F10" s="2">
        <f t="shared" si="7"/>
        <v>400</v>
      </c>
      <c r="G10" s="4">
        <f t="shared" si="5"/>
        <v>-2</v>
      </c>
      <c r="H10" t="s">
        <v>9</v>
      </c>
      <c r="I10" t="s">
        <v>14</v>
      </c>
    </row>
    <row r="11" spans="1:9" x14ac:dyDescent="0.2">
      <c r="A11" s="2">
        <f t="shared" si="6"/>
        <v>10</v>
      </c>
      <c r="B11" s="2">
        <f t="shared" si="2"/>
        <v>9</v>
      </c>
      <c r="C11" s="2">
        <f t="shared" si="3"/>
        <v>1</v>
      </c>
      <c r="D11" s="2">
        <f t="shared" si="0"/>
        <v>100</v>
      </c>
      <c r="E11" s="2">
        <f t="shared" si="4"/>
        <v>450</v>
      </c>
      <c r="F11" s="2">
        <f t="shared" si="7"/>
        <v>450</v>
      </c>
      <c r="G11" s="4">
        <f t="shared" si="5"/>
        <v>-1</v>
      </c>
      <c r="H11" t="s">
        <v>12</v>
      </c>
      <c r="I11" t="s">
        <v>15</v>
      </c>
    </row>
    <row r="12" spans="1:9" x14ac:dyDescent="0.2">
      <c r="A12" s="2">
        <f t="shared" si="6"/>
        <v>10</v>
      </c>
      <c r="B12" s="2">
        <f t="shared" si="2"/>
        <v>10</v>
      </c>
      <c r="C12" s="2">
        <f t="shared" si="3"/>
        <v>0</v>
      </c>
      <c r="D12" s="2">
        <f t="shared" si="0"/>
        <v>100</v>
      </c>
      <c r="E12" s="2">
        <f t="shared" si="4"/>
        <v>500</v>
      </c>
      <c r="F12" s="2">
        <f t="shared" si="7"/>
        <v>500</v>
      </c>
      <c r="G12" s="4">
        <f t="shared" si="5"/>
        <v>0</v>
      </c>
      <c r="H12" t="s">
        <v>5</v>
      </c>
      <c r="I12" t="s">
        <v>15</v>
      </c>
    </row>
    <row r="13" spans="1:9" x14ac:dyDescent="0.2">
      <c r="A13" s="2">
        <f t="shared" si="6"/>
        <v>10</v>
      </c>
      <c r="B13" s="2">
        <f t="shared" si="2"/>
        <v>11</v>
      </c>
      <c r="C13" s="2">
        <f t="shared" si="3"/>
        <v>-1</v>
      </c>
      <c r="D13" s="2">
        <f t="shared" si="0"/>
        <v>100</v>
      </c>
      <c r="E13" s="2">
        <f t="shared" si="4"/>
        <v>550</v>
      </c>
      <c r="F13" s="2">
        <f t="shared" si="7"/>
        <v>550</v>
      </c>
      <c r="G13" s="4">
        <f t="shared" si="5"/>
        <v>1</v>
      </c>
      <c r="H13" t="s">
        <v>6</v>
      </c>
      <c r="I13" t="s">
        <v>15</v>
      </c>
    </row>
    <row r="14" spans="1:9" x14ac:dyDescent="0.2">
      <c r="A14" s="2">
        <f t="shared" si="6"/>
        <v>10</v>
      </c>
      <c r="B14" s="2">
        <f t="shared" si="2"/>
        <v>12</v>
      </c>
      <c r="C14" s="2">
        <f t="shared" si="3"/>
        <v>-2</v>
      </c>
      <c r="D14" s="2">
        <f t="shared" si="0"/>
        <v>100</v>
      </c>
      <c r="E14" s="2">
        <f t="shared" si="4"/>
        <v>600</v>
      </c>
      <c r="F14" s="2">
        <f t="shared" si="7"/>
        <v>600</v>
      </c>
      <c r="G14" s="4">
        <f t="shared" si="5"/>
        <v>2</v>
      </c>
      <c r="H14" t="s">
        <v>2</v>
      </c>
      <c r="I14" t="s">
        <v>16</v>
      </c>
    </row>
    <row r="15" spans="1:9" x14ac:dyDescent="0.2">
      <c r="A15" s="2">
        <f t="shared" si="6"/>
        <v>10</v>
      </c>
      <c r="B15" s="2">
        <f t="shared" si="2"/>
        <v>13</v>
      </c>
      <c r="C15" s="2">
        <f t="shared" si="3"/>
        <v>-3</v>
      </c>
      <c r="D15" s="2">
        <f t="shared" si="0"/>
        <v>100</v>
      </c>
      <c r="E15" s="2">
        <f t="shared" si="4"/>
        <v>650</v>
      </c>
      <c r="F15" s="2">
        <f t="shared" si="7"/>
        <v>650</v>
      </c>
      <c r="G15" s="4">
        <f t="shared" si="5"/>
        <v>3</v>
      </c>
      <c r="H15" t="s">
        <v>3</v>
      </c>
      <c r="I15" t="s">
        <v>16</v>
      </c>
    </row>
    <row r="16" spans="1:9" x14ac:dyDescent="0.2">
      <c r="A16" s="2">
        <f t="shared" si="6"/>
        <v>10</v>
      </c>
      <c r="B16" s="2">
        <f t="shared" si="2"/>
        <v>14</v>
      </c>
      <c r="C16" s="2">
        <f t="shared" si="3"/>
        <v>-4</v>
      </c>
      <c r="D16" s="2">
        <f t="shared" si="0"/>
        <v>100</v>
      </c>
      <c r="E16" s="2">
        <f t="shared" si="4"/>
        <v>700</v>
      </c>
      <c r="F16" s="2">
        <f t="shared" si="7"/>
        <v>700</v>
      </c>
      <c r="G16" s="4">
        <f t="shared" si="5"/>
        <v>4</v>
      </c>
      <c r="H16" t="s">
        <v>3</v>
      </c>
      <c r="I16" t="s">
        <v>16</v>
      </c>
    </row>
    <row r="17" spans="1:9" x14ac:dyDescent="0.2">
      <c r="A17" s="2">
        <f t="shared" si="6"/>
        <v>10</v>
      </c>
      <c r="B17" s="2">
        <f t="shared" si="2"/>
        <v>15</v>
      </c>
      <c r="C17" s="2">
        <f t="shared" si="3"/>
        <v>-5</v>
      </c>
      <c r="D17" s="2">
        <f t="shared" si="0"/>
        <v>100</v>
      </c>
      <c r="E17" s="2">
        <f t="shared" si="4"/>
        <v>750</v>
      </c>
      <c r="F17" s="2">
        <f t="shared" si="7"/>
        <v>750</v>
      </c>
      <c r="G17" s="4">
        <f t="shared" si="5"/>
        <v>5</v>
      </c>
      <c r="H17" t="s">
        <v>3</v>
      </c>
      <c r="I17" t="s">
        <v>16</v>
      </c>
    </row>
    <row r="18" spans="1:9" x14ac:dyDescent="0.2">
      <c r="A18" s="2">
        <f t="shared" si="6"/>
        <v>10</v>
      </c>
      <c r="B18" s="2">
        <f t="shared" si="2"/>
        <v>16</v>
      </c>
      <c r="C18" s="2">
        <f t="shared" si="3"/>
        <v>-6</v>
      </c>
      <c r="D18" s="2">
        <f t="shared" si="0"/>
        <v>100</v>
      </c>
      <c r="E18" s="2">
        <f t="shared" si="4"/>
        <v>800</v>
      </c>
      <c r="F18" s="2">
        <f t="shared" si="7"/>
        <v>800</v>
      </c>
      <c r="G18" s="4">
        <f t="shared" si="5"/>
        <v>6</v>
      </c>
      <c r="H18" t="s">
        <v>3</v>
      </c>
      <c r="I18" t="s">
        <v>16</v>
      </c>
    </row>
    <row r="19" spans="1:9" x14ac:dyDescent="0.2">
      <c r="A19" s="2">
        <f t="shared" si="6"/>
        <v>10</v>
      </c>
      <c r="B19" s="2">
        <f t="shared" si="2"/>
        <v>17</v>
      </c>
      <c r="C19" s="2">
        <f t="shared" si="3"/>
        <v>-7</v>
      </c>
      <c r="D19" s="2">
        <f t="shared" si="0"/>
        <v>100</v>
      </c>
      <c r="E19" s="2">
        <f t="shared" si="4"/>
        <v>850</v>
      </c>
      <c r="F19" s="2">
        <f t="shared" si="7"/>
        <v>850</v>
      </c>
      <c r="G19" s="4">
        <f t="shared" si="5"/>
        <v>7</v>
      </c>
      <c r="H19" t="s">
        <v>3</v>
      </c>
      <c r="I19" t="s">
        <v>16</v>
      </c>
    </row>
    <row r="20" spans="1:9" x14ac:dyDescent="0.2">
      <c r="A20" s="2">
        <f t="shared" si="6"/>
        <v>10</v>
      </c>
      <c r="B20" s="2">
        <f t="shared" si="2"/>
        <v>18</v>
      </c>
      <c r="C20" s="2">
        <f t="shared" si="3"/>
        <v>-8</v>
      </c>
      <c r="D20" s="2">
        <f t="shared" si="0"/>
        <v>100</v>
      </c>
      <c r="E20" s="2">
        <f t="shared" si="4"/>
        <v>900</v>
      </c>
      <c r="F20" s="2">
        <f t="shared" si="7"/>
        <v>900</v>
      </c>
      <c r="G20" s="4">
        <f t="shared" si="5"/>
        <v>8</v>
      </c>
      <c r="H20" t="s">
        <v>3</v>
      </c>
      <c r="I20" t="s">
        <v>16</v>
      </c>
    </row>
    <row r="21" spans="1:9" x14ac:dyDescent="0.2">
      <c r="A21" s="2">
        <f t="shared" si="6"/>
        <v>10</v>
      </c>
      <c r="B21" s="2">
        <f t="shared" si="2"/>
        <v>19</v>
      </c>
      <c r="C21" s="2">
        <f t="shared" si="3"/>
        <v>-9</v>
      </c>
      <c r="D21" s="2">
        <f t="shared" si="0"/>
        <v>100</v>
      </c>
      <c r="E21" s="2">
        <f t="shared" si="4"/>
        <v>950</v>
      </c>
      <c r="F21" s="2">
        <f t="shared" si="7"/>
        <v>950</v>
      </c>
      <c r="G21" s="4">
        <f t="shared" si="5"/>
        <v>9</v>
      </c>
      <c r="H21" t="s">
        <v>3</v>
      </c>
      <c r="I21" t="s">
        <v>16</v>
      </c>
    </row>
    <row r="22" spans="1:9" x14ac:dyDescent="0.2">
      <c r="A22" s="2">
        <f t="shared" si="6"/>
        <v>10</v>
      </c>
      <c r="B22" s="2">
        <f t="shared" si="2"/>
        <v>20</v>
      </c>
      <c r="C22" s="2">
        <f t="shared" si="3"/>
        <v>-10</v>
      </c>
      <c r="D22" s="2">
        <f t="shared" si="0"/>
        <v>100</v>
      </c>
      <c r="E22" s="2">
        <f t="shared" si="4"/>
        <v>1000</v>
      </c>
      <c r="F22" s="2">
        <f t="shared" si="7"/>
        <v>1000</v>
      </c>
      <c r="G22" s="4">
        <f t="shared" si="5"/>
        <v>10</v>
      </c>
      <c r="H22" t="s">
        <v>3</v>
      </c>
      <c r="I22" t="s">
        <v>16</v>
      </c>
    </row>
    <row r="23" spans="1:9" x14ac:dyDescent="0.2">
      <c r="A23" s="2">
        <f t="shared" si="6"/>
        <v>10</v>
      </c>
      <c r="B23" s="2">
        <f t="shared" si="2"/>
        <v>21</v>
      </c>
      <c r="C23" s="2">
        <f t="shared" si="3"/>
        <v>-11</v>
      </c>
      <c r="D23" s="2">
        <f t="shared" si="0"/>
        <v>100</v>
      </c>
      <c r="E23" s="2">
        <f t="shared" si="4"/>
        <v>1050</v>
      </c>
      <c r="F23" s="2">
        <f t="shared" si="7"/>
        <v>1050</v>
      </c>
      <c r="G23" s="4">
        <f t="shared" si="5"/>
        <v>11</v>
      </c>
      <c r="H23" t="s">
        <v>3</v>
      </c>
      <c r="I23" t="s">
        <v>16</v>
      </c>
    </row>
    <row r="24" spans="1:9" x14ac:dyDescent="0.2">
      <c r="A24" s="2">
        <f t="shared" si="6"/>
        <v>10</v>
      </c>
      <c r="B24" s="2">
        <f t="shared" si="2"/>
        <v>22</v>
      </c>
      <c r="C24" s="2">
        <f t="shared" si="3"/>
        <v>-12</v>
      </c>
      <c r="D24" s="2">
        <f t="shared" si="0"/>
        <v>100</v>
      </c>
      <c r="E24" s="2">
        <f t="shared" si="4"/>
        <v>1100</v>
      </c>
      <c r="F24" s="2">
        <f t="shared" si="7"/>
        <v>1100</v>
      </c>
      <c r="G24" s="4">
        <f t="shared" si="5"/>
        <v>12</v>
      </c>
      <c r="H24" t="s">
        <v>3</v>
      </c>
      <c r="I24" t="s">
        <v>16</v>
      </c>
    </row>
    <row r="25" spans="1:9" x14ac:dyDescent="0.2">
      <c r="A25" s="2">
        <f t="shared" si="6"/>
        <v>10</v>
      </c>
      <c r="B25" s="2">
        <f t="shared" si="2"/>
        <v>23</v>
      </c>
      <c r="C25" s="2">
        <f t="shared" si="3"/>
        <v>-13</v>
      </c>
      <c r="D25" s="2">
        <f t="shared" si="0"/>
        <v>100</v>
      </c>
      <c r="E25" s="2">
        <f t="shared" si="4"/>
        <v>1150</v>
      </c>
      <c r="F25" s="2">
        <f t="shared" si="7"/>
        <v>1150</v>
      </c>
      <c r="G25" s="4">
        <f t="shared" si="5"/>
        <v>13</v>
      </c>
      <c r="H25" t="s">
        <v>3</v>
      </c>
      <c r="I25" t="s">
        <v>16</v>
      </c>
    </row>
    <row r="26" spans="1:9" x14ac:dyDescent="0.2">
      <c r="A26" s="2">
        <f t="shared" si="6"/>
        <v>10</v>
      </c>
      <c r="B26" s="2">
        <f t="shared" si="2"/>
        <v>24</v>
      </c>
      <c r="C26" s="2">
        <f t="shared" si="3"/>
        <v>-14</v>
      </c>
      <c r="D26" s="2">
        <f t="shared" si="0"/>
        <v>100</v>
      </c>
      <c r="E26" s="2">
        <f t="shared" si="4"/>
        <v>1200</v>
      </c>
      <c r="F26" s="2">
        <f t="shared" si="7"/>
        <v>1200</v>
      </c>
      <c r="G26" s="4">
        <f t="shared" si="5"/>
        <v>14</v>
      </c>
      <c r="H26" t="s">
        <v>3</v>
      </c>
      <c r="I26" t="s">
        <v>16</v>
      </c>
    </row>
    <row r="27" spans="1:9" x14ac:dyDescent="0.2">
      <c r="A27" s="2">
        <f t="shared" si="6"/>
        <v>10</v>
      </c>
      <c r="B27" s="2">
        <f t="shared" si="2"/>
        <v>25</v>
      </c>
      <c r="C27" s="2">
        <f t="shared" si="3"/>
        <v>-15</v>
      </c>
      <c r="D27" s="2">
        <f t="shared" si="0"/>
        <v>100</v>
      </c>
      <c r="E27" s="2">
        <f t="shared" si="4"/>
        <v>1250</v>
      </c>
      <c r="F27" s="2">
        <f t="shared" si="7"/>
        <v>1250</v>
      </c>
      <c r="G27" s="4">
        <f t="shared" si="5"/>
        <v>15</v>
      </c>
      <c r="H27" t="s">
        <v>3</v>
      </c>
      <c r="I27" t="s">
        <v>16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</vt:lpstr>
      <vt:lpstr>MobPlayer</vt:lpstr>
    </vt:vector>
  </TitlesOfParts>
  <Company>Mecklenburg County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Bryant</dc:creator>
  <cp:lastModifiedBy>Steve</cp:lastModifiedBy>
  <dcterms:created xsi:type="dcterms:W3CDTF">2003-09-30T19:14:48Z</dcterms:created>
  <dcterms:modified xsi:type="dcterms:W3CDTF">2021-06-21T18:54:36Z</dcterms:modified>
</cp:coreProperties>
</file>